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\Dropbox\Previfuego\MATRIZ LOCALES\"/>
    </mc:Choice>
  </mc:AlternateContent>
  <xr:revisionPtr revIDLastSave="0" documentId="13_ncr:1_{A7F8208A-A0A3-4000-B592-E1E59F7AA1F2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USHICORP" sheetId="11" r:id="rId1"/>
  </sheets>
  <definedNames>
    <definedName name="_xlnm._FilterDatabase" localSheetId="0" hidden="1">SUSHICORP!$A$1:$R$1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0" i="11" l="1"/>
  <c r="P37" i="11"/>
  <c r="P34" i="11"/>
  <c r="P31" i="11"/>
  <c r="P28" i="11"/>
  <c r="P23" i="11"/>
  <c r="P20" i="11"/>
  <c r="P18" i="11"/>
  <c r="P15" i="11"/>
  <c r="P12" i="11"/>
  <c r="P48" i="11"/>
  <c r="P8" i="11" l="1"/>
  <c r="P2" i="11"/>
</calcChain>
</file>

<file path=xl/sharedStrings.xml><?xml version="1.0" encoding="utf-8"?>
<sst xmlns="http://schemas.openxmlformats.org/spreadsheetml/2006/main" count="420" uniqueCount="62">
  <si>
    <t>CC</t>
  </si>
  <si>
    <t>UBICACIÓN</t>
  </si>
  <si>
    <t>TIPO</t>
  </si>
  <si>
    <t>CAPACIDAD</t>
  </si>
  <si>
    <t>Frecuencia Mantenimiento</t>
  </si>
  <si>
    <t xml:space="preserve">fecha de ultimo mantenimiento </t>
  </si>
  <si>
    <t>Costo Mantenimiento</t>
  </si>
  <si>
    <t>Frecuencia Recarga</t>
  </si>
  <si>
    <t>fecha de ultima recargar</t>
  </si>
  <si>
    <t>Año a realizar la recarga</t>
  </si>
  <si>
    <t>Costo Recarga</t>
  </si>
  <si>
    <t>Frecuencia de Prueba Hidrostática</t>
  </si>
  <si>
    <t>Costo Prueba Hidrostática</t>
  </si>
  <si>
    <t>Año a realizar la Prueba Hidrostática</t>
  </si>
  <si>
    <t>Subtotal</t>
  </si>
  <si>
    <t>Mes de trabajo</t>
  </si>
  <si>
    <t>PQS</t>
  </si>
  <si>
    <t>M</t>
  </si>
  <si>
    <t>1 año</t>
  </si>
  <si>
    <t>BODEGA</t>
  </si>
  <si>
    <t>CO2</t>
  </si>
  <si>
    <t>COCINA</t>
  </si>
  <si>
    <t>K</t>
  </si>
  <si>
    <t>Trabajo a realizar 2025</t>
  </si>
  <si>
    <t>FEBRERO</t>
  </si>
  <si>
    <t>MARZO</t>
  </si>
  <si>
    <t>AGOSTO</t>
  </si>
  <si>
    <t>NOVIEMBRE</t>
  </si>
  <si>
    <t>DICIEMBRE</t>
  </si>
  <si>
    <t>OFICINA</t>
  </si>
  <si>
    <t>SALON</t>
  </si>
  <si>
    <t>BODEGA P/B</t>
  </si>
  <si>
    <t>NOE MALL DEL SOL</t>
  </si>
  <si>
    <t>GABINETE ENTRADA PRINCIPAÑ</t>
  </si>
  <si>
    <t>2 AÑOS</t>
  </si>
  <si>
    <t>NOE BOCCA SAMBO</t>
  </si>
  <si>
    <t>KOBE SUPERCINES ORELLANA</t>
  </si>
  <si>
    <t>1 AÑO</t>
  </si>
  <si>
    <t>10 AÑOS</t>
  </si>
  <si>
    <t>-</t>
  </si>
  <si>
    <t>KOBE MALL DEL NORTE</t>
  </si>
  <si>
    <t>KOBE PLAZA BATAN</t>
  </si>
  <si>
    <t>KOBE MALL DEL SOL</t>
  </si>
  <si>
    <t>NOE SAN MARINO</t>
  </si>
  <si>
    <t>2,5G</t>
  </si>
  <si>
    <t>KOBE PLAZA TIA JOYA</t>
  </si>
  <si>
    <t>KOBE BAMBOO PLAZA VIA A LA C</t>
  </si>
  <si>
    <t>KOBE RIOC ENTRE RIOS</t>
  </si>
  <si>
    <t>KOBE RIOC CEIBOS</t>
  </si>
  <si>
    <t>KOBE URDESA</t>
  </si>
  <si>
    <t>KOBE PLANTA</t>
  </si>
  <si>
    <t>kobeadmin17@kobesushi.com.ec</t>
  </si>
  <si>
    <t>noeadmin17@noe.com.ec</t>
  </si>
  <si>
    <t>noeadmin06@noe.com.ec</t>
  </si>
  <si>
    <t>noeadmin11@noe.com.ec</t>
  </si>
  <si>
    <t>darwin.garcia@sushicorp.ec</t>
  </si>
  <si>
    <t>juan.zapater@kobesushi.com.ec</t>
  </si>
  <si>
    <t>kobeadmin24@kobesushi.com.ec</t>
  </si>
  <si>
    <t>kobeadmin25@kobesushi.com.ec</t>
  </si>
  <si>
    <t>kobeadmin26@kobesushi.com.ec</t>
  </si>
  <si>
    <t>JULIO</t>
  </si>
  <si>
    <t>NOVIEMBRE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</si>
</sst>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$&quot;* #,##0.00_ ;_ &quot;$&quot;* \-#,##0.00_ ;_ &quot;$&quot;* &quot;-&quot;??_ ;_ @_ 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b/>
      <sz val="8"/>
      <color indexed="8"/>
      <name val="Aptos Narrow"/>
      <family val="2"/>
      <scheme val="minor"/>
    </font>
    <font>
      <sz val="9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85">
    <xf numFmtId="0" fontId="0" fillId="0" borderId="0" xfId="0"/>
    <xf numFmtId="0" fontId="4" fillId="7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4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/>
    <xf numFmtId="44" fontId="7" fillId="0" borderId="0" xfId="0" applyNumberFormat="1" applyFont="1"/>
    <xf numFmtId="0" fontId="0" fillId="0" borderId="0" xfId="0" applyAlignment="1">
      <alignment horizontal="left"/>
    </xf>
    <xf numFmtId="44" fontId="5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5" fillId="0" borderId="1" xfId="0" applyFont="1" applyBorder="1"/>
    <xf numFmtId="0" fontId="5" fillId="0" borderId="1" xfId="0" applyFont="1" applyBorder="1" applyAlignment="1">
      <alignment horizontal="right"/>
    </xf>
    <xf numFmtId="0" fontId="5" fillId="0" borderId="2" xfId="0" applyFont="1" applyBorder="1"/>
    <xf numFmtId="0" fontId="5" fillId="0" borderId="6" xfId="0" applyFont="1" applyBorder="1"/>
    <xf numFmtId="0" fontId="4" fillId="7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44" fontId="4" fillId="0" borderId="6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44" fontId="5" fillId="0" borderId="6" xfId="0" applyNumberFormat="1" applyFont="1" applyBorder="1" applyAlignment="1">
      <alignment horizontal="center" vertical="center"/>
    </xf>
    <xf numFmtId="0" fontId="5" fillId="0" borderId="12" xfId="0" applyFont="1" applyBorder="1"/>
    <xf numFmtId="0" fontId="4" fillId="7" borderId="12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44" fontId="4" fillId="0" borderId="12" xfId="0" applyNumberFormat="1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44" fontId="5" fillId="0" borderId="12" xfId="0" applyNumberFormat="1" applyFont="1" applyBorder="1" applyAlignment="1">
      <alignment horizontal="center" vertical="center"/>
    </xf>
    <xf numFmtId="0" fontId="5" fillId="0" borderId="4" xfId="0" applyFont="1" applyBorder="1"/>
    <xf numFmtId="0" fontId="4" fillId="7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44" fontId="4" fillId="0" borderId="4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44" fontId="5" fillId="0" borderId="4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2" xfId="1" applyNumberFormat="1" applyFont="1" applyFill="1" applyBorder="1" applyAlignment="1">
      <alignment horizontal="center" vertical="center" wrapText="1"/>
    </xf>
    <xf numFmtId="14" fontId="2" fillId="3" borderId="2" xfId="0" applyNumberFormat="1" applyFont="1" applyFill="1" applyBorder="1" applyAlignment="1">
      <alignment horizontal="center" vertical="center" wrapText="1"/>
    </xf>
    <xf numFmtId="44" fontId="2" fillId="3" borderId="2" xfId="1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14" fontId="2" fillId="4" borderId="2" xfId="0" applyNumberFormat="1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44" fontId="2" fillId="4" borderId="2" xfId="1" applyFont="1" applyFill="1" applyBorder="1" applyAlignment="1">
      <alignment horizontal="center" vertical="center" wrapText="1"/>
    </xf>
    <xf numFmtId="44" fontId="2" fillId="5" borderId="2" xfId="1" applyFont="1" applyFill="1" applyBorder="1" applyAlignment="1">
      <alignment horizontal="center" vertical="center" wrapText="1"/>
    </xf>
    <xf numFmtId="44" fontId="2" fillId="6" borderId="2" xfId="1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12" xfId="0" applyFont="1" applyBorder="1" applyAlignment="1">
      <alignment horizontal="left"/>
    </xf>
    <xf numFmtId="0" fontId="4" fillId="7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44" fontId="4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44" fontId="5" fillId="0" borderId="2" xfId="0" applyNumberFormat="1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44" fontId="5" fillId="0" borderId="6" xfId="0" applyNumberFormat="1" applyFont="1" applyBorder="1" applyAlignment="1">
      <alignment horizontal="center" vertical="center" wrapText="1"/>
    </xf>
    <xf numFmtId="44" fontId="5" fillId="0" borderId="1" xfId="0" applyNumberFormat="1" applyFont="1" applyBorder="1" applyAlignment="1">
      <alignment horizontal="center" vertical="center" wrapText="1"/>
    </xf>
    <xf numFmtId="44" fontId="5" fillId="0" borderId="12" xfId="0" applyNumberFormat="1" applyFont="1" applyBorder="1" applyAlignment="1">
      <alignment horizontal="center" vertical="center" wrapText="1"/>
    </xf>
    <xf numFmtId="0" fontId="3" fillId="7" borderId="15" xfId="0" applyFont="1" applyFill="1" applyBorder="1" applyAlignment="1">
      <alignment horizontal="center" vertical="center" wrapText="1"/>
    </xf>
    <xf numFmtId="0" fontId="3" fillId="7" borderId="17" xfId="0" applyFont="1" applyFill="1" applyBorder="1" applyAlignment="1">
      <alignment horizontal="center" vertical="center" wrapText="1"/>
    </xf>
    <xf numFmtId="0" fontId="3" fillId="7" borderId="23" xfId="0" applyFont="1" applyFill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44" fontId="5" fillId="0" borderId="4" xfId="0" applyNumberFormat="1" applyFont="1" applyBorder="1" applyAlignment="1">
      <alignment horizontal="center" vertical="center" wrapText="1"/>
    </xf>
    <xf numFmtId="44" fontId="5" fillId="0" borderId="2" xfId="0" applyNumberFormat="1" applyFont="1" applyBorder="1" applyAlignment="1">
      <alignment horizontal="center" vertical="center" wrapText="1"/>
    </xf>
    <xf numFmtId="0" fontId="3" fillId="7" borderId="22" xfId="0" applyFont="1" applyFill="1" applyBorder="1" applyAlignment="1">
      <alignment horizontal="center" vertical="center" wrapText="1"/>
    </xf>
    <xf numFmtId="0" fontId="3" fillId="7" borderId="19" xfId="0" applyFont="1" applyFill="1" applyBorder="1" applyAlignment="1">
      <alignment horizontal="center" vertical="center" wrapText="1"/>
    </xf>
    <xf numFmtId="44" fontId="5" fillId="0" borderId="3" xfId="0" applyNumberFormat="1" applyFont="1" applyBorder="1" applyAlignment="1">
      <alignment horizontal="center" vertical="center" wrapText="1"/>
    </xf>
    <xf numFmtId="0" fontId="3" fillId="7" borderId="9" xfId="0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3" fillId="7" borderId="11" xfId="0" applyFont="1" applyFill="1" applyBorder="1" applyAlignment="1">
      <alignment horizontal="center" vertical="center" wrapText="1"/>
    </xf>
    <xf numFmtId="49" fontId="6" fillId="8" borderId="10" xfId="0" applyNumberFormat="1" applyFont="1" applyFill="1" applyBorder="1" applyAlignment="1">
      <alignment horizontal="center" vertical="center" wrapText="1"/>
    </xf>
    <xf numFmtId="49" fontId="6" fillId="8" borderId="14" xfId="0" applyNumberFormat="1" applyFont="1" applyFill="1" applyBorder="1" applyAlignment="1">
      <alignment horizontal="center" vertical="center" wrapText="1"/>
    </xf>
    <xf numFmtId="44" fontId="5" fillId="0" borderId="13" xfId="0" applyNumberFormat="1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44" fontId="5" fillId="0" borderId="7" xfId="0" applyNumberFormat="1" applyFont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9" fillId="0" borderId="27" xfId="2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9" fillId="0" borderId="25" xfId="2" applyBorder="1" applyAlignment="1">
      <alignment horizontal="center" vertical="center"/>
    </xf>
    <xf numFmtId="0" fontId="9" fillId="0" borderId="26" xfId="2" applyBorder="1" applyAlignment="1">
      <alignment horizontal="center" vertical="center"/>
    </xf>
    <xf numFmtId="0" fontId="9" fillId="0" borderId="0" xfId="2" applyBorder="1" applyAlignment="1">
      <alignment horizontal="center" vertical="center"/>
    </xf>
    <xf numFmtId="0" fontId="9" fillId="0" borderId="0" xfId="2" applyAlignment="1">
      <alignment horizontal="center" vertic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kobeadmin24@kobesushi.com.ec" TargetMode="External"/><Relationship Id="rId7" Type="http://schemas.openxmlformats.org/officeDocument/2006/relationships/hyperlink" Target="mailto:noeadmin17@noe.com.ec" TargetMode="External"/><Relationship Id="rId2" Type="http://schemas.openxmlformats.org/officeDocument/2006/relationships/hyperlink" Target="mailto:noeadmin06@noe.com.ec" TargetMode="External"/><Relationship Id="rId1" Type="http://schemas.openxmlformats.org/officeDocument/2006/relationships/hyperlink" Target="mailto:kobeadmin17@kobesushi.com.ec" TargetMode="External"/><Relationship Id="rId6" Type="http://schemas.openxmlformats.org/officeDocument/2006/relationships/hyperlink" Target="mailto:noeadmin11@noe.com.ec" TargetMode="External"/><Relationship Id="rId5" Type="http://schemas.openxmlformats.org/officeDocument/2006/relationships/hyperlink" Target="mailto:kobeadmin26@kobesushi.com.ec" TargetMode="External"/><Relationship Id="rId4" Type="http://schemas.openxmlformats.org/officeDocument/2006/relationships/hyperlink" Target="mailto:kobeadmin25@kobesushi.com.e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T156"/>
  <sheetViews>
    <sheetView tabSelected="1" zoomScale="70" zoomScaleNormal="70" workbookViewId="0">
      <pane xSplit="3" topLeftCell="E1" activePane="topRight" state="frozen"/>
      <selection pane="topRight" activeCell="H65" sqref="H65"/>
    </sheetView>
  </sheetViews>
  <sheetFormatPr baseColWidth="10" defaultRowHeight="14.5" x14ac:dyDescent="0.35"/>
  <cols>
    <col min="1" max="1" width="30" style="9" customWidth="1"/>
    <col min="2" max="2" width="27.90625" bestFit="1" customWidth="1"/>
    <col min="3" max="3" width="6.90625" customWidth="1"/>
    <col min="4" max="4" width="13.6328125" customWidth="1"/>
    <col min="5" max="5" width="8.08984375" customWidth="1"/>
    <col min="6" max="6" width="11.6328125" customWidth="1"/>
    <col min="7" max="7" width="12.08984375" customWidth="1"/>
    <col min="8" max="8" width="15" bestFit="1" customWidth="1"/>
    <col min="9" max="9" width="8.6328125" customWidth="1"/>
    <col min="10" max="10" width="12.26953125" customWidth="1"/>
    <col min="11" max="11" width="10.08984375" customWidth="1"/>
    <col min="12" max="12" width="8.90625" customWidth="1"/>
    <col min="13" max="13" width="10" customWidth="1"/>
    <col min="14" max="14" width="8.7265625" customWidth="1"/>
    <col min="15" max="15" width="6" customWidth="1"/>
    <col min="16" max="16" width="10" bestFit="1" customWidth="1"/>
    <col min="17" max="17" width="9.90625" customWidth="1"/>
  </cols>
  <sheetData>
    <row r="1" spans="1:20" ht="78.75" customHeight="1" thickBot="1" x14ac:dyDescent="0.4">
      <c r="A1" s="33" t="s">
        <v>0</v>
      </c>
      <c r="B1" s="33" t="s">
        <v>1</v>
      </c>
      <c r="C1" s="33" t="s">
        <v>2</v>
      </c>
      <c r="D1" s="33" t="s">
        <v>3</v>
      </c>
      <c r="E1" s="34" t="s">
        <v>23</v>
      </c>
      <c r="F1" s="35" t="s">
        <v>4</v>
      </c>
      <c r="G1" s="36" t="s">
        <v>5</v>
      </c>
      <c r="H1" s="37" t="s">
        <v>6</v>
      </c>
      <c r="I1" s="38" t="s">
        <v>7</v>
      </c>
      <c r="J1" s="39" t="s">
        <v>8</v>
      </c>
      <c r="K1" s="40" t="s">
        <v>9</v>
      </c>
      <c r="L1" s="41" t="s">
        <v>10</v>
      </c>
      <c r="M1" s="42" t="s">
        <v>11</v>
      </c>
      <c r="N1" s="42" t="s">
        <v>12</v>
      </c>
      <c r="O1" s="42" t="s">
        <v>13</v>
      </c>
      <c r="P1" s="43" t="s">
        <v>14</v>
      </c>
      <c r="Q1" s="43" t="s">
        <v>15</v>
      </c>
    </row>
    <row r="2" spans="1:20" s="6" customFormat="1" ht="15" customHeight="1" x14ac:dyDescent="0.3">
      <c r="A2" s="58" t="s">
        <v>32</v>
      </c>
      <c r="B2" s="15" t="s">
        <v>21</v>
      </c>
      <c r="C2" s="15" t="s">
        <v>20</v>
      </c>
      <c r="D2" s="15">
        <v>50</v>
      </c>
      <c r="E2" s="16" t="s">
        <v>17</v>
      </c>
      <c r="F2" s="17" t="s">
        <v>18</v>
      </c>
      <c r="G2" s="16">
        <v>2024</v>
      </c>
      <c r="H2" s="18">
        <v>20</v>
      </c>
      <c r="I2" s="17" t="s">
        <v>34</v>
      </c>
      <c r="J2" s="16">
        <v>2024</v>
      </c>
      <c r="K2" s="17">
        <v>2026</v>
      </c>
      <c r="L2" s="17"/>
      <c r="M2" s="19" t="s">
        <v>38</v>
      </c>
      <c r="N2" s="20"/>
      <c r="O2" s="19"/>
      <c r="P2" s="55">
        <f>SUM(H2:H7)</f>
        <v>40</v>
      </c>
      <c r="Q2" s="52" t="s">
        <v>24</v>
      </c>
      <c r="R2" s="78" t="s">
        <v>54</v>
      </c>
      <c r="S2" s="79"/>
      <c r="T2" s="79"/>
    </row>
    <row r="3" spans="1:20" s="6" customFormat="1" ht="15" customHeight="1" x14ac:dyDescent="0.3">
      <c r="A3" s="59"/>
      <c r="B3" s="12" t="s">
        <v>21</v>
      </c>
      <c r="C3" s="12" t="s">
        <v>16</v>
      </c>
      <c r="D3" s="12">
        <v>10</v>
      </c>
      <c r="E3" s="1" t="s">
        <v>17</v>
      </c>
      <c r="F3" s="2" t="s">
        <v>18</v>
      </c>
      <c r="G3" s="1">
        <v>2024</v>
      </c>
      <c r="H3" s="3">
        <v>4</v>
      </c>
      <c r="I3" s="2" t="s">
        <v>34</v>
      </c>
      <c r="J3" s="1">
        <v>2024</v>
      </c>
      <c r="K3" s="2">
        <v>2026</v>
      </c>
      <c r="L3" s="2"/>
      <c r="M3" s="4" t="s">
        <v>38</v>
      </c>
      <c r="N3" s="5"/>
      <c r="O3" s="4"/>
      <c r="P3" s="56"/>
      <c r="Q3" s="53"/>
      <c r="R3" s="80"/>
      <c r="S3" s="79"/>
      <c r="T3" s="79"/>
    </row>
    <row r="4" spans="1:20" s="6" customFormat="1" ht="15" customHeight="1" x14ac:dyDescent="0.3">
      <c r="A4" s="59"/>
      <c r="B4" s="12" t="s">
        <v>29</v>
      </c>
      <c r="C4" s="12" t="s">
        <v>16</v>
      </c>
      <c r="D4" s="12">
        <v>10</v>
      </c>
      <c r="E4" s="1" t="s">
        <v>17</v>
      </c>
      <c r="F4" s="2" t="s">
        <v>18</v>
      </c>
      <c r="G4" s="1">
        <v>2024</v>
      </c>
      <c r="H4" s="3">
        <v>4</v>
      </c>
      <c r="I4" s="2" t="s">
        <v>34</v>
      </c>
      <c r="J4" s="1">
        <v>2024</v>
      </c>
      <c r="K4" s="2">
        <v>2026</v>
      </c>
      <c r="L4" s="2"/>
      <c r="M4" s="4" t="s">
        <v>38</v>
      </c>
      <c r="N4" s="5"/>
      <c r="O4" s="4"/>
      <c r="P4" s="56"/>
      <c r="Q4" s="53"/>
      <c r="R4" s="80"/>
      <c r="S4" s="79"/>
      <c r="T4" s="79"/>
    </row>
    <row r="5" spans="1:20" s="6" customFormat="1" ht="15" customHeight="1" x14ac:dyDescent="0.3">
      <c r="A5" s="59"/>
      <c r="B5" s="12" t="s">
        <v>21</v>
      </c>
      <c r="C5" s="12" t="s">
        <v>16</v>
      </c>
      <c r="D5" s="12">
        <v>10</v>
      </c>
      <c r="E5" s="1" t="s">
        <v>17</v>
      </c>
      <c r="F5" s="2" t="s">
        <v>18</v>
      </c>
      <c r="G5" s="1">
        <v>2024</v>
      </c>
      <c r="H5" s="3">
        <v>4</v>
      </c>
      <c r="I5" s="2" t="s">
        <v>34</v>
      </c>
      <c r="J5" s="1">
        <v>2024</v>
      </c>
      <c r="K5" s="2">
        <v>2026</v>
      </c>
      <c r="L5" s="2"/>
      <c r="M5" s="4" t="s">
        <v>38</v>
      </c>
      <c r="N5" s="5"/>
      <c r="O5" s="4"/>
      <c r="P5" s="56"/>
      <c r="Q5" s="53"/>
      <c r="R5" s="80"/>
      <c r="S5" s="79"/>
      <c r="T5" s="79"/>
    </row>
    <row r="6" spans="1:20" s="6" customFormat="1" ht="15" customHeight="1" x14ac:dyDescent="0.3">
      <c r="A6" s="59"/>
      <c r="B6" s="12" t="s">
        <v>33</v>
      </c>
      <c r="C6" s="12" t="s">
        <v>16</v>
      </c>
      <c r="D6" s="12">
        <v>10</v>
      </c>
      <c r="E6" s="1" t="s">
        <v>17</v>
      </c>
      <c r="F6" s="2" t="s">
        <v>18</v>
      </c>
      <c r="G6" s="1">
        <v>2024</v>
      </c>
      <c r="H6" s="3">
        <v>4</v>
      </c>
      <c r="I6" s="2" t="s">
        <v>34</v>
      </c>
      <c r="J6" s="1">
        <v>2024</v>
      </c>
      <c r="K6" s="2">
        <v>2026</v>
      </c>
      <c r="L6" s="2"/>
      <c r="M6" s="4" t="s">
        <v>38</v>
      </c>
      <c r="N6" s="5"/>
      <c r="O6" s="4"/>
      <c r="P6" s="56"/>
      <c r="Q6" s="53"/>
      <c r="R6" s="80"/>
      <c r="S6" s="79"/>
      <c r="T6" s="79"/>
    </row>
    <row r="7" spans="1:20" s="6" customFormat="1" ht="15" customHeight="1" thickBot="1" x14ac:dyDescent="0.35">
      <c r="A7" s="60"/>
      <c r="B7" s="21" t="s">
        <v>31</v>
      </c>
      <c r="C7" s="21" t="s">
        <v>16</v>
      </c>
      <c r="D7" s="21">
        <v>10</v>
      </c>
      <c r="E7" s="22" t="s">
        <v>17</v>
      </c>
      <c r="F7" s="23" t="s">
        <v>18</v>
      </c>
      <c r="G7" s="22">
        <v>2024</v>
      </c>
      <c r="H7" s="24">
        <v>4</v>
      </c>
      <c r="I7" s="23" t="s">
        <v>34</v>
      </c>
      <c r="J7" s="22">
        <v>2024</v>
      </c>
      <c r="K7" s="23">
        <v>2026</v>
      </c>
      <c r="L7" s="23"/>
      <c r="M7" s="25" t="s">
        <v>38</v>
      </c>
      <c r="N7" s="26"/>
      <c r="O7" s="25"/>
      <c r="P7" s="57"/>
      <c r="Q7" s="54"/>
      <c r="R7" s="80"/>
      <c r="S7" s="79"/>
      <c r="T7" s="79"/>
    </row>
    <row r="8" spans="1:20" s="6" customFormat="1" ht="15" customHeight="1" x14ac:dyDescent="0.3">
      <c r="A8" s="58" t="s">
        <v>35</v>
      </c>
      <c r="B8" s="15" t="s">
        <v>21</v>
      </c>
      <c r="C8" s="44" t="s">
        <v>20</v>
      </c>
      <c r="D8" s="15">
        <v>50</v>
      </c>
      <c r="E8" s="16" t="s">
        <v>17</v>
      </c>
      <c r="F8" s="17" t="s">
        <v>18</v>
      </c>
      <c r="G8" s="16">
        <v>2024</v>
      </c>
      <c r="H8" s="18">
        <v>20</v>
      </c>
      <c r="I8" s="17" t="s">
        <v>34</v>
      </c>
      <c r="J8" s="16">
        <v>2024</v>
      </c>
      <c r="K8" s="17">
        <v>2026</v>
      </c>
      <c r="L8" s="17"/>
      <c r="M8" s="19" t="s">
        <v>38</v>
      </c>
      <c r="N8" s="20"/>
      <c r="O8" s="19"/>
      <c r="P8" s="55">
        <f>SUM(H8:H11)</f>
        <v>32</v>
      </c>
      <c r="Q8" s="52" t="s">
        <v>24</v>
      </c>
      <c r="R8" s="78" t="s">
        <v>52</v>
      </c>
      <c r="S8" s="79"/>
      <c r="T8" s="79"/>
    </row>
    <row r="9" spans="1:20" s="6" customFormat="1" ht="15" customHeight="1" x14ac:dyDescent="0.3">
      <c r="A9" s="59"/>
      <c r="B9" s="12" t="s">
        <v>30</v>
      </c>
      <c r="C9" s="45" t="s">
        <v>16</v>
      </c>
      <c r="D9" s="12">
        <v>10</v>
      </c>
      <c r="E9" s="1" t="s">
        <v>17</v>
      </c>
      <c r="F9" s="2" t="s">
        <v>18</v>
      </c>
      <c r="G9" s="1">
        <v>2024</v>
      </c>
      <c r="H9" s="3">
        <v>4</v>
      </c>
      <c r="I9" s="2" t="s">
        <v>34</v>
      </c>
      <c r="J9" s="1">
        <v>2024</v>
      </c>
      <c r="K9" s="2">
        <v>2026</v>
      </c>
      <c r="L9" s="2"/>
      <c r="M9" s="4" t="s">
        <v>38</v>
      </c>
      <c r="N9" s="5"/>
      <c r="O9" s="4"/>
      <c r="P9" s="56"/>
      <c r="Q9" s="53"/>
      <c r="R9" s="80"/>
      <c r="S9" s="79"/>
      <c r="T9" s="79"/>
    </row>
    <row r="10" spans="1:20" s="6" customFormat="1" ht="15" customHeight="1" x14ac:dyDescent="0.3">
      <c r="A10" s="59"/>
      <c r="B10" s="12" t="s">
        <v>19</v>
      </c>
      <c r="C10" s="45" t="s">
        <v>16</v>
      </c>
      <c r="D10" s="12">
        <v>10</v>
      </c>
      <c r="E10" s="1" t="s">
        <v>17</v>
      </c>
      <c r="F10" s="2" t="s">
        <v>18</v>
      </c>
      <c r="G10" s="1">
        <v>2024</v>
      </c>
      <c r="H10" s="3">
        <v>4</v>
      </c>
      <c r="I10" s="2" t="s">
        <v>34</v>
      </c>
      <c r="J10" s="1">
        <v>2024</v>
      </c>
      <c r="K10" s="2">
        <v>2026</v>
      </c>
      <c r="L10" s="2"/>
      <c r="M10" s="4" t="s">
        <v>38</v>
      </c>
      <c r="N10" s="5"/>
      <c r="O10" s="4"/>
      <c r="P10" s="56"/>
      <c r="Q10" s="53"/>
      <c r="R10" s="80"/>
      <c r="S10" s="79"/>
      <c r="T10" s="79"/>
    </row>
    <row r="11" spans="1:20" s="6" customFormat="1" ht="15" customHeight="1" thickBot="1" x14ac:dyDescent="0.35">
      <c r="A11" s="60"/>
      <c r="B11" s="21" t="s">
        <v>21</v>
      </c>
      <c r="C11" s="46" t="s">
        <v>16</v>
      </c>
      <c r="D11" s="21">
        <v>10</v>
      </c>
      <c r="E11" s="22" t="s">
        <v>17</v>
      </c>
      <c r="F11" s="23" t="s">
        <v>18</v>
      </c>
      <c r="G11" s="22">
        <v>2024</v>
      </c>
      <c r="H11" s="24">
        <v>4</v>
      </c>
      <c r="I11" s="23" t="s">
        <v>34</v>
      </c>
      <c r="J11" s="22">
        <v>2024</v>
      </c>
      <c r="K11" s="23">
        <v>2026</v>
      </c>
      <c r="L11" s="23"/>
      <c r="M11" s="25" t="s">
        <v>38</v>
      </c>
      <c r="N11" s="26"/>
      <c r="O11" s="25"/>
      <c r="P11" s="57"/>
      <c r="Q11" s="54"/>
      <c r="R11" s="80"/>
      <c r="S11" s="79"/>
      <c r="T11" s="79"/>
    </row>
    <row r="12" spans="1:20" s="6" customFormat="1" ht="15" customHeight="1" x14ac:dyDescent="0.35">
      <c r="A12" s="65" t="s">
        <v>36</v>
      </c>
      <c r="B12" s="27"/>
      <c r="C12" s="27" t="s">
        <v>20</v>
      </c>
      <c r="D12" s="27">
        <v>50</v>
      </c>
      <c r="E12" s="28" t="s">
        <v>17</v>
      </c>
      <c r="F12" s="29" t="s">
        <v>37</v>
      </c>
      <c r="G12" s="28">
        <v>2024</v>
      </c>
      <c r="H12" s="30">
        <v>20</v>
      </c>
      <c r="I12" s="29" t="s">
        <v>34</v>
      </c>
      <c r="J12" s="28">
        <v>2024</v>
      </c>
      <c r="K12" s="29">
        <v>2026</v>
      </c>
      <c r="L12" s="30"/>
      <c r="M12" s="31" t="s">
        <v>38</v>
      </c>
      <c r="N12" s="32" t="s">
        <v>39</v>
      </c>
      <c r="O12" s="31" t="s">
        <v>39</v>
      </c>
      <c r="P12" s="63">
        <f>SUM(H12:H14)</f>
        <v>26</v>
      </c>
      <c r="Q12" s="61" t="s">
        <v>25</v>
      </c>
      <c r="R12"/>
      <c r="S12"/>
      <c r="T12"/>
    </row>
    <row r="13" spans="1:20" s="6" customFormat="1" ht="15" customHeight="1" x14ac:dyDescent="0.35">
      <c r="A13" s="59"/>
      <c r="B13" s="12"/>
      <c r="C13" s="12" t="s">
        <v>20</v>
      </c>
      <c r="D13" s="12">
        <v>5</v>
      </c>
      <c r="E13" s="1" t="s">
        <v>17</v>
      </c>
      <c r="F13" s="2" t="s">
        <v>37</v>
      </c>
      <c r="G13" s="1">
        <v>2024</v>
      </c>
      <c r="H13" s="3">
        <v>2</v>
      </c>
      <c r="I13" s="2" t="s">
        <v>34</v>
      </c>
      <c r="J13" s="1">
        <v>2024</v>
      </c>
      <c r="K13" s="2">
        <v>2026</v>
      </c>
      <c r="L13" s="3"/>
      <c r="M13" s="4" t="s">
        <v>38</v>
      </c>
      <c r="N13" s="5" t="s">
        <v>39</v>
      </c>
      <c r="O13" s="4" t="s">
        <v>39</v>
      </c>
      <c r="P13" s="56"/>
      <c r="Q13" s="53"/>
      <c r="R13"/>
      <c r="S13"/>
      <c r="T13"/>
    </row>
    <row r="14" spans="1:20" s="6" customFormat="1" ht="15" customHeight="1" thickBot="1" x14ac:dyDescent="0.4">
      <c r="A14" s="66"/>
      <c r="B14" s="14"/>
      <c r="C14" s="14" t="s">
        <v>16</v>
      </c>
      <c r="D14" s="14">
        <v>10</v>
      </c>
      <c r="E14" s="47" t="s">
        <v>17</v>
      </c>
      <c r="F14" s="48" t="s">
        <v>37</v>
      </c>
      <c r="G14" s="47">
        <v>2024</v>
      </c>
      <c r="H14" s="49">
        <v>4</v>
      </c>
      <c r="I14" s="48" t="s">
        <v>34</v>
      </c>
      <c r="J14" s="47">
        <v>2024</v>
      </c>
      <c r="K14" s="48">
        <v>2026</v>
      </c>
      <c r="L14" s="49"/>
      <c r="M14" s="50" t="s">
        <v>38</v>
      </c>
      <c r="N14" s="51" t="s">
        <v>39</v>
      </c>
      <c r="O14" s="50" t="s">
        <v>39</v>
      </c>
      <c r="P14" s="64"/>
      <c r="Q14" s="62"/>
      <c r="R14"/>
      <c r="S14"/>
      <c r="T14"/>
    </row>
    <row r="15" spans="1:20" s="6" customFormat="1" ht="15" customHeight="1" x14ac:dyDescent="0.3">
      <c r="A15" s="58" t="s">
        <v>41</v>
      </c>
      <c r="B15" s="15"/>
      <c r="C15" s="15" t="s">
        <v>20</v>
      </c>
      <c r="D15" s="15">
        <v>50</v>
      </c>
      <c r="E15" s="16" t="s">
        <v>17</v>
      </c>
      <c r="F15" s="17" t="s">
        <v>37</v>
      </c>
      <c r="G15" s="16">
        <v>2024</v>
      </c>
      <c r="H15" s="18">
        <v>20</v>
      </c>
      <c r="I15" s="17" t="s">
        <v>34</v>
      </c>
      <c r="J15" s="16">
        <v>2024</v>
      </c>
      <c r="K15" s="17">
        <v>2026</v>
      </c>
      <c r="L15" s="18"/>
      <c r="M15" s="19" t="s">
        <v>38</v>
      </c>
      <c r="N15" s="20" t="s">
        <v>39</v>
      </c>
      <c r="O15" s="19" t="s">
        <v>39</v>
      </c>
      <c r="P15" s="55">
        <f>SUM(H15:H17)</f>
        <v>28</v>
      </c>
      <c r="Q15" s="52" t="s">
        <v>26</v>
      </c>
      <c r="R15" s="78" t="s">
        <v>58</v>
      </c>
      <c r="S15" s="79"/>
      <c r="T15" s="79"/>
    </row>
    <row r="16" spans="1:20" s="6" customFormat="1" ht="15" customHeight="1" x14ac:dyDescent="0.3">
      <c r="A16" s="59"/>
      <c r="B16" s="12"/>
      <c r="C16" s="12" t="s">
        <v>16</v>
      </c>
      <c r="D16" s="12">
        <v>10</v>
      </c>
      <c r="E16" s="1" t="s">
        <v>17</v>
      </c>
      <c r="F16" s="2" t="s">
        <v>37</v>
      </c>
      <c r="G16" s="1">
        <v>2024</v>
      </c>
      <c r="H16" s="3">
        <v>4</v>
      </c>
      <c r="I16" s="2" t="s">
        <v>34</v>
      </c>
      <c r="J16" s="1">
        <v>2024</v>
      </c>
      <c r="K16" s="2">
        <v>2026</v>
      </c>
      <c r="L16" s="3"/>
      <c r="M16" s="4" t="s">
        <v>38</v>
      </c>
      <c r="N16" s="5" t="s">
        <v>39</v>
      </c>
      <c r="O16" s="4" t="s">
        <v>39</v>
      </c>
      <c r="P16" s="56"/>
      <c r="Q16" s="53"/>
      <c r="R16" s="80"/>
      <c r="S16" s="79"/>
      <c r="T16" s="79"/>
    </row>
    <row r="17" spans="1:20" s="6" customFormat="1" ht="15" customHeight="1" thickBot="1" x14ac:dyDescent="0.35">
      <c r="A17" s="60"/>
      <c r="B17" s="21"/>
      <c r="C17" s="21" t="s">
        <v>16</v>
      </c>
      <c r="D17" s="21">
        <v>10</v>
      </c>
      <c r="E17" s="22" t="s">
        <v>17</v>
      </c>
      <c r="F17" s="23" t="s">
        <v>37</v>
      </c>
      <c r="G17" s="22">
        <v>2024</v>
      </c>
      <c r="H17" s="24">
        <v>4</v>
      </c>
      <c r="I17" s="23" t="s">
        <v>34</v>
      </c>
      <c r="J17" s="22">
        <v>2024</v>
      </c>
      <c r="K17" s="23">
        <v>2026</v>
      </c>
      <c r="L17" s="24"/>
      <c r="M17" s="25" t="s">
        <v>38</v>
      </c>
      <c r="N17" s="26" t="s">
        <v>39</v>
      </c>
      <c r="O17" s="25" t="s">
        <v>39</v>
      </c>
      <c r="P17" s="57"/>
      <c r="Q17" s="54"/>
      <c r="R17" s="80"/>
      <c r="S17" s="79"/>
      <c r="T17" s="79"/>
    </row>
    <row r="18" spans="1:20" s="6" customFormat="1" ht="15" customHeight="1" x14ac:dyDescent="0.3">
      <c r="A18" s="68" t="s">
        <v>42</v>
      </c>
      <c r="B18" s="27"/>
      <c r="C18" s="27" t="s">
        <v>20</v>
      </c>
      <c r="D18" s="27">
        <v>50</v>
      </c>
      <c r="E18" s="28" t="s">
        <v>17</v>
      </c>
      <c r="F18" s="29" t="s">
        <v>37</v>
      </c>
      <c r="G18" s="28">
        <v>2024</v>
      </c>
      <c r="H18" s="30">
        <v>20</v>
      </c>
      <c r="I18" s="29" t="s">
        <v>34</v>
      </c>
      <c r="J18" s="28">
        <v>2024</v>
      </c>
      <c r="K18" s="29">
        <v>2026</v>
      </c>
      <c r="L18" s="30"/>
      <c r="M18" s="31" t="s">
        <v>38</v>
      </c>
      <c r="N18" s="32" t="s">
        <v>39</v>
      </c>
      <c r="O18" s="31" t="s">
        <v>39</v>
      </c>
      <c r="P18" s="67">
        <f>SUM(H18:H19)</f>
        <v>24</v>
      </c>
      <c r="Q18" s="69" t="s">
        <v>26</v>
      </c>
      <c r="R18" s="78" t="s">
        <v>57</v>
      </c>
      <c r="S18" s="84"/>
      <c r="T18" s="84"/>
    </row>
    <row r="19" spans="1:20" ht="15" customHeight="1" thickBot="1" x14ac:dyDescent="0.4">
      <c r="A19" s="68"/>
      <c r="B19" s="14"/>
      <c r="C19" s="14" t="s">
        <v>16</v>
      </c>
      <c r="D19" s="14">
        <v>10</v>
      </c>
      <c r="E19" s="47" t="s">
        <v>17</v>
      </c>
      <c r="F19" s="48" t="s">
        <v>37</v>
      </c>
      <c r="G19" s="47">
        <v>2024</v>
      </c>
      <c r="H19" s="49">
        <v>4</v>
      </c>
      <c r="I19" s="48" t="s">
        <v>34</v>
      </c>
      <c r="J19" s="47">
        <v>2024</v>
      </c>
      <c r="K19" s="48">
        <v>2026</v>
      </c>
      <c r="L19" s="49"/>
      <c r="M19" s="50" t="s">
        <v>38</v>
      </c>
      <c r="N19" s="51" t="s">
        <v>39</v>
      </c>
      <c r="O19" s="50" t="s">
        <v>39</v>
      </c>
      <c r="P19" s="67"/>
      <c r="Q19" s="69"/>
      <c r="R19" s="78"/>
      <c r="S19" s="84"/>
      <c r="T19" s="84"/>
    </row>
    <row r="20" spans="1:20" ht="15" customHeight="1" x14ac:dyDescent="0.35">
      <c r="A20" s="58" t="s">
        <v>40</v>
      </c>
      <c r="B20" s="15"/>
      <c r="C20" s="15" t="s">
        <v>20</v>
      </c>
      <c r="D20" s="15">
        <v>50</v>
      </c>
      <c r="E20" s="16" t="s">
        <v>17</v>
      </c>
      <c r="F20" s="17" t="s">
        <v>37</v>
      </c>
      <c r="G20" s="16">
        <v>2024</v>
      </c>
      <c r="H20" s="18">
        <v>20</v>
      </c>
      <c r="I20" s="17" t="s">
        <v>34</v>
      </c>
      <c r="J20" s="16">
        <v>2024</v>
      </c>
      <c r="K20" s="17">
        <v>2026</v>
      </c>
      <c r="L20" s="18"/>
      <c r="M20" s="19" t="s">
        <v>38</v>
      </c>
      <c r="N20" s="20" t="s">
        <v>39</v>
      </c>
      <c r="O20" s="19" t="s">
        <v>39</v>
      </c>
      <c r="P20" s="55">
        <f>SUM(H20:H22)</f>
        <v>26</v>
      </c>
      <c r="Q20" s="52" t="s">
        <v>60</v>
      </c>
    </row>
    <row r="21" spans="1:20" ht="15" customHeight="1" x14ac:dyDescent="0.35">
      <c r="A21" s="59"/>
      <c r="B21" s="12"/>
      <c r="C21" s="12" t="s">
        <v>20</v>
      </c>
      <c r="D21" s="12">
        <v>5</v>
      </c>
      <c r="E21" s="1" t="s">
        <v>17</v>
      </c>
      <c r="F21" s="2" t="s">
        <v>37</v>
      </c>
      <c r="G21" s="1">
        <v>2024</v>
      </c>
      <c r="H21" s="3">
        <v>2</v>
      </c>
      <c r="I21" s="2" t="s">
        <v>34</v>
      </c>
      <c r="J21" s="1">
        <v>2024</v>
      </c>
      <c r="K21" s="2">
        <v>2026</v>
      </c>
      <c r="L21" s="3"/>
      <c r="M21" s="4" t="s">
        <v>38</v>
      </c>
      <c r="N21" s="5" t="s">
        <v>39</v>
      </c>
      <c r="O21" s="4" t="s">
        <v>39</v>
      </c>
      <c r="P21" s="56"/>
      <c r="Q21" s="53"/>
    </row>
    <row r="22" spans="1:20" ht="15" customHeight="1" thickBot="1" x14ac:dyDescent="0.4">
      <c r="A22" s="60"/>
      <c r="B22" s="21"/>
      <c r="C22" s="21" t="s">
        <v>16</v>
      </c>
      <c r="D22" s="21">
        <v>10</v>
      </c>
      <c r="E22" s="22" t="s">
        <v>17</v>
      </c>
      <c r="F22" s="23" t="s">
        <v>37</v>
      </c>
      <c r="G22" s="22">
        <v>2024</v>
      </c>
      <c r="H22" s="24">
        <v>4</v>
      </c>
      <c r="I22" s="23" t="s">
        <v>34</v>
      </c>
      <c r="J22" s="22">
        <v>2024</v>
      </c>
      <c r="K22" s="23">
        <v>2026</v>
      </c>
      <c r="L22" s="24"/>
      <c r="M22" s="25" t="s">
        <v>38</v>
      </c>
      <c r="N22" s="26" t="s">
        <v>39</v>
      </c>
      <c r="O22" s="25" t="s">
        <v>39</v>
      </c>
      <c r="P22" s="57"/>
      <c r="Q22" s="54"/>
    </row>
    <row r="23" spans="1:20" ht="15" customHeight="1" x14ac:dyDescent="0.35">
      <c r="A23" s="68" t="s">
        <v>43</v>
      </c>
      <c r="B23" s="27"/>
      <c r="C23" s="27" t="s">
        <v>20</v>
      </c>
      <c r="D23" s="27">
        <v>50</v>
      </c>
      <c r="E23" s="28" t="s">
        <v>17</v>
      </c>
      <c r="F23" s="29" t="s">
        <v>18</v>
      </c>
      <c r="G23" s="28">
        <v>2024</v>
      </c>
      <c r="H23" s="30">
        <v>20</v>
      </c>
      <c r="I23" s="29" t="s">
        <v>34</v>
      </c>
      <c r="J23" s="28">
        <v>2024</v>
      </c>
      <c r="K23" s="29">
        <v>2026</v>
      </c>
      <c r="L23" s="29"/>
      <c r="M23" s="31" t="s">
        <v>38</v>
      </c>
      <c r="N23" s="32"/>
      <c r="O23" s="31"/>
      <c r="P23" s="67">
        <f>SUM(H23:H27)</f>
        <v>42</v>
      </c>
      <c r="Q23" s="69" t="s">
        <v>27</v>
      </c>
      <c r="R23" s="78" t="s">
        <v>53</v>
      </c>
      <c r="S23" s="79"/>
      <c r="T23" s="79"/>
    </row>
    <row r="24" spans="1:20" ht="15" customHeight="1" x14ac:dyDescent="0.35">
      <c r="A24" s="68"/>
      <c r="B24" s="12"/>
      <c r="C24" s="12" t="s">
        <v>20</v>
      </c>
      <c r="D24" s="12">
        <v>5</v>
      </c>
      <c r="E24" s="1" t="s">
        <v>17</v>
      </c>
      <c r="F24" s="2" t="s">
        <v>18</v>
      </c>
      <c r="G24" s="1">
        <v>2024</v>
      </c>
      <c r="H24" s="3">
        <v>2</v>
      </c>
      <c r="I24" s="2" t="s">
        <v>34</v>
      </c>
      <c r="J24" s="1">
        <v>2024</v>
      </c>
      <c r="K24" s="2">
        <v>2026</v>
      </c>
      <c r="L24" s="2"/>
      <c r="M24" s="4" t="s">
        <v>38</v>
      </c>
      <c r="N24" s="5"/>
      <c r="O24" s="4"/>
      <c r="P24" s="67"/>
      <c r="Q24" s="69"/>
      <c r="R24" s="80"/>
      <c r="S24" s="79"/>
      <c r="T24" s="79"/>
    </row>
    <row r="25" spans="1:20" ht="15" customHeight="1" x14ac:dyDescent="0.35">
      <c r="A25" s="68"/>
      <c r="B25" s="12"/>
      <c r="C25" s="12" t="s">
        <v>22</v>
      </c>
      <c r="D25" s="13" t="s">
        <v>44</v>
      </c>
      <c r="E25" s="1" t="s">
        <v>17</v>
      </c>
      <c r="F25" s="2" t="s">
        <v>18</v>
      </c>
      <c r="G25" s="1">
        <v>2024</v>
      </c>
      <c r="H25" s="3">
        <v>12</v>
      </c>
      <c r="I25" s="2" t="s">
        <v>34</v>
      </c>
      <c r="J25" s="1">
        <v>2024</v>
      </c>
      <c r="K25" s="2">
        <v>2026</v>
      </c>
      <c r="L25" s="2"/>
      <c r="M25" s="4" t="s">
        <v>38</v>
      </c>
      <c r="N25" s="5"/>
      <c r="O25" s="4"/>
      <c r="P25" s="67"/>
      <c r="Q25" s="69"/>
      <c r="R25" s="80"/>
      <c r="S25" s="79"/>
      <c r="T25" s="79"/>
    </row>
    <row r="26" spans="1:20" ht="15" customHeight="1" x14ac:dyDescent="0.35">
      <c r="A26" s="68"/>
      <c r="B26" s="12"/>
      <c r="C26" s="12" t="s">
        <v>16</v>
      </c>
      <c r="D26" s="12">
        <v>10</v>
      </c>
      <c r="E26" s="1" t="s">
        <v>17</v>
      </c>
      <c r="F26" s="2" t="s">
        <v>18</v>
      </c>
      <c r="G26" s="1">
        <v>2024</v>
      </c>
      <c r="H26" s="3">
        <v>4</v>
      </c>
      <c r="I26" s="2" t="s">
        <v>34</v>
      </c>
      <c r="J26" s="1">
        <v>2024</v>
      </c>
      <c r="K26" s="2">
        <v>2026</v>
      </c>
      <c r="L26" s="2"/>
      <c r="M26" s="4" t="s">
        <v>38</v>
      </c>
      <c r="N26" s="5"/>
      <c r="O26" s="4"/>
      <c r="P26" s="67"/>
      <c r="Q26" s="69"/>
      <c r="R26" s="80"/>
      <c r="S26" s="79"/>
      <c r="T26" s="79"/>
    </row>
    <row r="27" spans="1:20" ht="15" customHeight="1" thickBot="1" x14ac:dyDescent="0.4">
      <c r="A27" s="68"/>
      <c r="B27" s="14"/>
      <c r="C27" s="14" t="s">
        <v>16</v>
      </c>
      <c r="D27" s="14">
        <v>10</v>
      </c>
      <c r="E27" s="47" t="s">
        <v>17</v>
      </c>
      <c r="F27" s="48" t="s">
        <v>18</v>
      </c>
      <c r="G27" s="47">
        <v>2024</v>
      </c>
      <c r="H27" s="49">
        <v>4</v>
      </c>
      <c r="I27" s="48" t="s">
        <v>34</v>
      </c>
      <c r="J27" s="47">
        <v>2024</v>
      </c>
      <c r="K27" s="48">
        <v>2026</v>
      </c>
      <c r="L27" s="48"/>
      <c r="M27" s="50" t="s">
        <v>38</v>
      </c>
      <c r="N27" s="51"/>
      <c r="O27" s="50"/>
      <c r="P27" s="67"/>
      <c r="Q27" s="69"/>
      <c r="R27" s="80"/>
      <c r="S27" s="79"/>
      <c r="T27" s="79"/>
    </row>
    <row r="28" spans="1:20" ht="15" customHeight="1" x14ac:dyDescent="0.35">
      <c r="A28" s="58" t="s">
        <v>45</v>
      </c>
      <c r="B28" s="15"/>
      <c r="C28" s="15" t="s">
        <v>20</v>
      </c>
      <c r="D28" s="15">
        <v>50</v>
      </c>
      <c r="E28" s="16" t="s">
        <v>17</v>
      </c>
      <c r="F28" s="17" t="s">
        <v>37</v>
      </c>
      <c r="G28" s="16">
        <v>2024</v>
      </c>
      <c r="H28" s="18">
        <v>20</v>
      </c>
      <c r="I28" s="17" t="s">
        <v>34</v>
      </c>
      <c r="J28" s="16">
        <v>2024</v>
      </c>
      <c r="K28" s="17">
        <v>2026</v>
      </c>
      <c r="L28" s="18"/>
      <c r="M28" s="19" t="s">
        <v>38</v>
      </c>
      <c r="N28" s="20" t="s">
        <v>39</v>
      </c>
      <c r="O28" s="19" t="s">
        <v>39</v>
      </c>
      <c r="P28" s="55">
        <f>SUM(H28:H30)</f>
        <v>26</v>
      </c>
      <c r="Q28" s="52" t="s">
        <v>27</v>
      </c>
      <c r="R28" s="78" t="s">
        <v>59</v>
      </c>
      <c r="S28" s="79"/>
      <c r="T28" s="79"/>
    </row>
    <row r="29" spans="1:20" ht="15" customHeight="1" x14ac:dyDescent="0.35">
      <c r="A29" s="59"/>
      <c r="B29" s="12"/>
      <c r="C29" s="12" t="s">
        <v>20</v>
      </c>
      <c r="D29" s="12">
        <v>5</v>
      </c>
      <c r="E29" s="1" t="s">
        <v>17</v>
      </c>
      <c r="F29" s="2" t="s">
        <v>37</v>
      </c>
      <c r="G29" s="1">
        <v>2024</v>
      </c>
      <c r="H29" s="3">
        <v>2</v>
      </c>
      <c r="I29" s="2" t="s">
        <v>34</v>
      </c>
      <c r="J29" s="1">
        <v>2024</v>
      </c>
      <c r="K29" s="2">
        <v>2026</v>
      </c>
      <c r="L29" s="3"/>
      <c r="M29" s="4" t="s">
        <v>38</v>
      </c>
      <c r="N29" s="5" t="s">
        <v>39</v>
      </c>
      <c r="O29" s="4" t="s">
        <v>39</v>
      </c>
      <c r="P29" s="56"/>
      <c r="Q29" s="53"/>
      <c r="R29" s="80"/>
      <c r="S29" s="79"/>
      <c r="T29" s="79"/>
    </row>
    <row r="30" spans="1:20" ht="15" customHeight="1" thickBot="1" x14ac:dyDescent="0.4">
      <c r="A30" s="60"/>
      <c r="B30" s="21"/>
      <c r="C30" s="21" t="s">
        <v>16</v>
      </c>
      <c r="D30" s="21">
        <v>10</v>
      </c>
      <c r="E30" s="22" t="s">
        <v>17</v>
      </c>
      <c r="F30" s="23" t="s">
        <v>37</v>
      </c>
      <c r="G30" s="22">
        <v>2024</v>
      </c>
      <c r="H30" s="24">
        <v>4</v>
      </c>
      <c r="I30" s="23" t="s">
        <v>34</v>
      </c>
      <c r="J30" s="22">
        <v>2024</v>
      </c>
      <c r="K30" s="23">
        <v>2026</v>
      </c>
      <c r="L30" s="24"/>
      <c r="M30" s="25" t="s">
        <v>38</v>
      </c>
      <c r="N30" s="26" t="s">
        <v>39</v>
      </c>
      <c r="O30" s="25" t="s">
        <v>39</v>
      </c>
      <c r="P30" s="57"/>
      <c r="Q30" s="54"/>
      <c r="R30" s="80"/>
      <c r="S30" s="79"/>
      <c r="T30" s="79"/>
    </row>
    <row r="31" spans="1:20" ht="15" customHeight="1" x14ac:dyDescent="0.35">
      <c r="A31" s="65" t="s">
        <v>46</v>
      </c>
      <c r="B31" s="27"/>
      <c r="C31" s="27" t="s">
        <v>20</v>
      </c>
      <c r="D31" s="27">
        <v>50</v>
      </c>
      <c r="E31" s="28" t="s">
        <v>17</v>
      </c>
      <c r="F31" s="29" t="s">
        <v>37</v>
      </c>
      <c r="G31" s="28">
        <v>2024</v>
      </c>
      <c r="H31" s="30">
        <v>20</v>
      </c>
      <c r="I31" s="29" t="s">
        <v>34</v>
      </c>
      <c r="J31" s="28">
        <v>2024</v>
      </c>
      <c r="K31" s="29">
        <v>2026</v>
      </c>
      <c r="L31" s="30"/>
      <c r="M31" s="31" t="s">
        <v>38</v>
      </c>
      <c r="N31" s="32" t="s">
        <v>39</v>
      </c>
      <c r="O31" s="31" t="s">
        <v>39</v>
      </c>
      <c r="P31" s="63">
        <f>SUM(H31:H33)</f>
        <v>24</v>
      </c>
      <c r="Q31" s="61" t="s">
        <v>27</v>
      </c>
      <c r="R31" s="80" t="s">
        <v>52</v>
      </c>
      <c r="S31" s="79"/>
      <c r="T31" s="79"/>
    </row>
    <row r="32" spans="1:20" ht="15" customHeight="1" x14ac:dyDescent="0.35">
      <c r="A32" s="59"/>
      <c r="B32" s="12"/>
      <c r="C32" s="12" t="s">
        <v>20</v>
      </c>
      <c r="D32" s="12">
        <v>5</v>
      </c>
      <c r="E32" s="1" t="s">
        <v>17</v>
      </c>
      <c r="F32" s="2" t="s">
        <v>37</v>
      </c>
      <c r="G32" s="1">
        <v>2024</v>
      </c>
      <c r="H32" s="3">
        <v>2</v>
      </c>
      <c r="I32" s="2" t="s">
        <v>34</v>
      </c>
      <c r="J32" s="1">
        <v>2024</v>
      </c>
      <c r="K32" s="2">
        <v>2026</v>
      </c>
      <c r="L32" s="3"/>
      <c r="M32" s="4" t="s">
        <v>38</v>
      </c>
      <c r="N32" s="5" t="s">
        <v>39</v>
      </c>
      <c r="O32" s="4" t="s">
        <v>39</v>
      </c>
      <c r="P32" s="56"/>
      <c r="Q32" s="53"/>
      <c r="R32" s="80"/>
      <c r="S32" s="79"/>
      <c r="T32" s="79"/>
    </row>
    <row r="33" spans="1:20" ht="15" customHeight="1" thickBot="1" x14ac:dyDescent="0.4">
      <c r="A33" s="66"/>
      <c r="B33" s="14"/>
      <c r="C33" s="14" t="s">
        <v>20</v>
      </c>
      <c r="D33" s="14">
        <v>5</v>
      </c>
      <c r="E33" s="47" t="s">
        <v>17</v>
      </c>
      <c r="F33" s="48" t="s">
        <v>37</v>
      </c>
      <c r="G33" s="47">
        <v>2024</v>
      </c>
      <c r="H33" s="49">
        <v>2</v>
      </c>
      <c r="I33" s="48" t="s">
        <v>34</v>
      </c>
      <c r="J33" s="47">
        <v>2024</v>
      </c>
      <c r="K33" s="48">
        <v>2026</v>
      </c>
      <c r="L33" s="49"/>
      <c r="M33" s="50" t="s">
        <v>38</v>
      </c>
      <c r="N33" s="51" t="s">
        <v>39</v>
      </c>
      <c r="O33" s="50" t="s">
        <v>39</v>
      </c>
      <c r="P33" s="64"/>
      <c r="Q33" s="62"/>
      <c r="R33" s="80"/>
      <c r="S33" s="79"/>
      <c r="T33" s="79"/>
    </row>
    <row r="34" spans="1:20" ht="15" customHeight="1" x14ac:dyDescent="0.35">
      <c r="A34" s="58" t="s">
        <v>47</v>
      </c>
      <c r="B34" s="15"/>
      <c r="C34" s="15" t="s">
        <v>20</v>
      </c>
      <c r="D34" s="15">
        <v>50</v>
      </c>
      <c r="E34" s="16" t="s">
        <v>17</v>
      </c>
      <c r="F34" s="17" t="s">
        <v>37</v>
      </c>
      <c r="G34" s="16">
        <v>2024</v>
      </c>
      <c r="H34" s="18">
        <v>20</v>
      </c>
      <c r="I34" s="17" t="s">
        <v>34</v>
      </c>
      <c r="J34" s="16">
        <v>2024</v>
      </c>
      <c r="K34" s="17">
        <v>2026</v>
      </c>
      <c r="L34" s="18"/>
      <c r="M34" s="19" t="s">
        <v>38</v>
      </c>
      <c r="N34" s="20" t="s">
        <v>39</v>
      </c>
      <c r="O34" s="19" t="s">
        <v>39</v>
      </c>
      <c r="P34" s="55">
        <f>SUM(H34:H36)</f>
        <v>26</v>
      </c>
      <c r="Q34" s="52" t="s">
        <v>27</v>
      </c>
    </row>
    <row r="35" spans="1:20" ht="15" customHeight="1" x14ac:dyDescent="0.35">
      <c r="A35" s="59"/>
      <c r="B35" s="12"/>
      <c r="C35" s="12" t="s">
        <v>20</v>
      </c>
      <c r="D35" s="12">
        <v>5</v>
      </c>
      <c r="E35" s="1" t="s">
        <v>17</v>
      </c>
      <c r="F35" s="2" t="s">
        <v>37</v>
      </c>
      <c r="G35" s="1">
        <v>2024</v>
      </c>
      <c r="H35" s="3">
        <v>2</v>
      </c>
      <c r="I35" s="2" t="s">
        <v>34</v>
      </c>
      <c r="J35" s="1">
        <v>2024</v>
      </c>
      <c r="K35" s="2">
        <v>2026</v>
      </c>
      <c r="L35" s="3"/>
      <c r="M35" s="4" t="s">
        <v>38</v>
      </c>
      <c r="N35" s="5" t="s">
        <v>39</v>
      </c>
      <c r="O35" s="4" t="s">
        <v>39</v>
      </c>
      <c r="P35" s="56"/>
      <c r="Q35" s="53"/>
    </row>
    <row r="36" spans="1:20" ht="15" customHeight="1" thickBot="1" x14ac:dyDescent="0.4">
      <c r="A36" s="60"/>
      <c r="B36" s="21"/>
      <c r="C36" s="21" t="s">
        <v>16</v>
      </c>
      <c r="D36" s="21">
        <v>10</v>
      </c>
      <c r="E36" s="22" t="s">
        <v>17</v>
      </c>
      <c r="F36" s="23" t="s">
        <v>37</v>
      </c>
      <c r="G36" s="22">
        <v>2024</v>
      </c>
      <c r="H36" s="24">
        <v>4</v>
      </c>
      <c r="I36" s="23" t="s">
        <v>34</v>
      </c>
      <c r="J36" s="22">
        <v>2024</v>
      </c>
      <c r="K36" s="23">
        <v>2026</v>
      </c>
      <c r="L36" s="24"/>
      <c r="M36" s="25" t="s">
        <v>38</v>
      </c>
      <c r="N36" s="26" t="s">
        <v>39</v>
      </c>
      <c r="O36" s="25" t="s">
        <v>39</v>
      </c>
      <c r="P36" s="57"/>
      <c r="Q36" s="54"/>
    </row>
    <row r="37" spans="1:20" x14ac:dyDescent="0.35">
      <c r="A37" s="65" t="s">
        <v>48</v>
      </c>
      <c r="B37" s="27"/>
      <c r="C37" s="27" t="s">
        <v>20</v>
      </c>
      <c r="D37" s="27">
        <v>50</v>
      </c>
      <c r="E37" s="28" t="s">
        <v>17</v>
      </c>
      <c r="F37" s="29" t="s">
        <v>37</v>
      </c>
      <c r="G37" s="28">
        <v>2024</v>
      </c>
      <c r="H37" s="30">
        <v>20</v>
      </c>
      <c r="I37" s="29" t="s">
        <v>34</v>
      </c>
      <c r="J37" s="28">
        <v>2024</v>
      </c>
      <c r="K37" s="29">
        <v>2026</v>
      </c>
      <c r="L37" s="30"/>
      <c r="M37" s="31" t="s">
        <v>38</v>
      </c>
      <c r="N37" s="32" t="s">
        <v>39</v>
      </c>
      <c r="O37" s="31" t="s">
        <v>39</v>
      </c>
      <c r="P37" s="63">
        <f>SUM(H37:H39)</f>
        <v>26</v>
      </c>
      <c r="Q37" s="61" t="s">
        <v>28</v>
      </c>
    </row>
    <row r="38" spans="1:20" x14ac:dyDescent="0.35">
      <c r="A38" s="59"/>
      <c r="B38" s="12"/>
      <c r="C38" s="12" t="s">
        <v>20</v>
      </c>
      <c r="D38" s="12">
        <v>5</v>
      </c>
      <c r="E38" s="1" t="s">
        <v>17</v>
      </c>
      <c r="F38" s="2" t="s">
        <v>37</v>
      </c>
      <c r="G38" s="1">
        <v>2024</v>
      </c>
      <c r="H38" s="3">
        <v>2</v>
      </c>
      <c r="I38" s="2" t="s">
        <v>34</v>
      </c>
      <c r="J38" s="1">
        <v>2024</v>
      </c>
      <c r="K38" s="2">
        <v>2026</v>
      </c>
      <c r="L38" s="3"/>
      <c r="M38" s="4" t="s">
        <v>38</v>
      </c>
      <c r="N38" s="5" t="s">
        <v>39</v>
      </c>
      <c r="O38" s="4" t="s">
        <v>39</v>
      </c>
      <c r="P38" s="56"/>
      <c r="Q38" s="53"/>
    </row>
    <row r="39" spans="1:20" ht="15" thickBot="1" x14ac:dyDescent="0.4">
      <c r="A39" s="66"/>
      <c r="B39" s="14"/>
      <c r="C39" s="14" t="s">
        <v>16</v>
      </c>
      <c r="D39" s="14">
        <v>10</v>
      </c>
      <c r="E39" s="47" t="s">
        <v>17</v>
      </c>
      <c r="F39" s="48" t="s">
        <v>37</v>
      </c>
      <c r="G39" s="47">
        <v>2024</v>
      </c>
      <c r="H39" s="49">
        <v>4</v>
      </c>
      <c r="I39" s="48" t="s">
        <v>34</v>
      </c>
      <c r="J39" s="47">
        <v>2024</v>
      </c>
      <c r="K39" s="48">
        <v>2026</v>
      </c>
      <c r="L39" s="49"/>
      <c r="M39" s="50" t="s">
        <v>38</v>
      </c>
      <c r="N39" s="51" t="s">
        <v>39</v>
      </c>
      <c r="O39" s="50" t="s">
        <v>39</v>
      </c>
      <c r="P39" s="64"/>
      <c r="Q39" s="62"/>
    </row>
    <row r="40" spans="1:20" x14ac:dyDescent="0.35">
      <c r="A40" s="77" t="s">
        <v>49</v>
      </c>
      <c r="B40" s="15"/>
      <c r="C40" s="15" t="s">
        <v>20</v>
      </c>
      <c r="D40" s="15">
        <v>50</v>
      </c>
      <c r="E40" s="16" t="s">
        <v>17</v>
      </c>
      <c r="F40" s="17" t="s">
        <v>18</v>
      </c>
      <c r="G40" s="16">
        <v>2024</v>
      </c>
      <c r="H40" s="18">
        <v>20</v>
      </c>
      <c r="I40" s="17" t="s">
        <v>34</v>
      </c>
      <c r="J40" s="16">
        <v>2024</v>
      </c>
      <c r="K40" s="17">
        <v>2026</v>
      </c>
      <c r="L40" s="17"/>
      <c r="M40" s="19" t="s">
        <v>38</v>
      </c>
      <c r="N40" s="20"/>
      <c r="O40" s="19"/>
      <c r="P40" s="76">
        <f>SUM(H40:H47)</f>
        <v>56</v>
      </c>
      <c r="Q40" s="74" t="s">
        <v>27</v>
      </c>
      <c r="R40" s="81" t="s">
        <v>51</v>
      </c>
      <c r="S40" s="82"/>
      <c r="T40" s="82"/>
    </row>
    <row r="41" spans="1:20" x14ac:dyDescent="0.35">
      <c r="A41" s="68"/>
      <c r="B41" s="12"/>
      <c r="C41" s="12" t="s">
        <v>16</v>
      </c>
      <c r="D41" s="12">
        <v>20</v>
      </c>
      <c r="E41" s="1" t="s">
        <v>17</v>
      </c>
      <c r="F41" s="2" t="s">
        <v>18</v>
      </c>
      <c r="G41" s="1">
        <v>2024</v>
      </c>
      <c r="H41" s="3">
        <v>8</v>
      </c>
      <c r="I41" s="2" t="s">
        <v>34</v>
      </c>
      <c r="J41" s="1">
        <v>2024</v>
      </c>
      <c r="K41" s="2">
        <v>2026</v>
      </c>
      <c r="L41" s="2"/>
      <c r="M41" s="4" t="s">
        <v>38</v>
      </c>
      <c r="N41" s="5"/>
      <c r="O41" s="4"/>
      <c r="P41" s="67"/>
      <c r="Q41" s="69"/>
      <c r="R41" s="78"/>
      <c r="S41" s="83"/>
      <c r="T41" s="83"/>
    </row>
    <row r="42" spans="1:20" x14ac:dyDescent="0.35">
      <c r="A42" s="68"/>
      <c r="B42" s="12"/>
      <c r="C42" s="12" t="s">
        <v>16</v>
      </c>
      <c r="D42" s="13">
        <v>20</v>
      </c>
      <c r="E42" s="1" t="s">
        <v>17</v>
      </c>
      <c r="F42" s="2" t="s">
        <v>18</v>
      </c>
      <c r="G42" s="1">
        <v>2024</v>
      </c>
      <c r="H42" s="3">
        <v>8</v>
      </c>
      <c r="I42" s="2" t="s">
        <v>34</v>
      </c>
      <c r="J42" s="1">
        <v>2024</v>
      </c>
      <c r="K42" s="2">
        <v>2026</v>
      </c>
      <c r="L42" s="2"/>
      <c r="M42" s="4" t="s">
        <v>38</v>
      </c>
      <c r="N42" s="5"/>
      <c r="O42" s="4"/>
      <c r="P42" s="67"/>
      <c r="Q42" s="69"/>
      <c r="R42" s="78"/>
      <c r="S42" s="83"/>
      <c r="T42" s="83"/>
    </row>
    <row r="43" spans="1:20" x14ac:dyDescent="0.35">
      <c r="A43" s="68"/>
      <c r="B43" s="12"/>
      <c r="C43" s="12" t="s">
        <v>16</v>
      </c>
      <c r="D43" s="12">
        <v>10</v>
      </c>
      <c r="E43" s="1" t="s">
        <v>17</v>
      </c>
      <c r="F43" s="2" t="s">
        <v>18</v>
      </c>
      <c r="G43" s="1">
        <v>2024</v>
      </c>
      <c r="H43" s="3">
        <v>4</v>
      </c>
      <c r="I43" s="2" t="s">
        <v>34</v>
      </c>
      <c r="J43" s="1">
        <v>2024</v>
      </c>
      <c r="K43" s="2">
        <v>2026</v>
      </c>
      <c r="L43" s="2"/>
      <c r="M43" s="4" t="s">
        <v>38</v>
      </c>
      <c r="N43" s="5"/>
      <c r="O43" s="4"/>
      <c r="P43" s="67"/>
      <c r="Q43" s="69"/>
      <c r="R43" s="78"/>
      <c r="S43" s="83"/>
      <c r="T43" s="83"/>
    </row>
    <row r="44" spans="1:20" x14ac:dyDescent="0.35">
      <c r="A44" s="68"/>
      <c r="B44" s="12"/>
      <c r="C44" s="12" t="s">
        <v>16</v>
      </c>
      <c r="D44" s="12">
        <v>10</v>
      </c>
      <c r="E44" s="1" t="s">
        <v>17</v>
      </c>
      <c r="F44" s="2" t="s">
        <v>18</v>
      </c>
      <c r="G44" s="1">
        <v>2024</v>
      </c>
      <c r="H44" s="3">
        <v>4</v>
      </c>
      <c r="I44" s="2" t="s">
        <v>34</v>
      </c>
      <c r="J44" s="1">
        <v>2024</v>
      </c>
      <c r="K44" s="2">
        <v>2026</v>
      </c>
      <c r="L44" s="2"/>
      <c r="M44" s="4" t="s">
        <v>38</v>
      </c>
      <c r="N44" s="5"/>
      <c r="O44" s="4"/>
      <c r="P44" s="67"/>
      <c r="Q44" s="69"/>
      <c r="R44" s="78"/>
      <c r="S44" s="83"/>
      <c r="T44" s="83"/>
    </row>
    <row r="45" spans="1:20" x14ac:dyDescent="0.35">
      <c r="A45" s="68"/>
      <c r="B45" s="12"/>
      <c r="C45" s="12" t="s">
        <v>16</v>
      </c>
      <c r="D45" s="12">
        <v>10</v>
      </c>
      <c r="E45" s="1" t="s">
        <v>17</v>
      </c>
      <c r="F45" s="2" t="s">
        <v>18</v>
      </c>
      <c r="G45" s="1">
        <v>2024</v>
      </c>
      <c r="H45" s="3">
        <v>4</v>
      </c>
      <c r="I45" s="2" t="s">
        <v>34</v>
      </c>
      <c r="J45" s="1">
        <v>2024</v>
      </c>
      <c r="K45" s="2">
        <v>2026</v>
      </c>
      <c r="L45" s="2"/>
      <c r="M45" s="4" t="s">
        <v>38</v>
      </c>
      <c r="N45" s="5"/>
      <c r="O45" s="4"/>
      <c r="P45" s="67"/>
      <c r="Q45" s="69"/>
      <c r="R45" s="78"/>
      <c r="S45" s="83"/>
      <c r="T45" s="83"/>
    </row>
    <row r="46" spans="1:20" x14ac:dyDescent="0.35">
      <c r="A46" s="68"/>
      <c r="B46" s="12"/>
      <c r="C46" s="12" t="s">
        <v>16</v>
      </c>
      <c r="D46" s="12">
        <v>10</v>
      </c>
      <c r="E46" s="1" t="s">
        <v>17</v>
      </c>
      <c r="F46" s="2" t="s">
        <v>18</v>
      </c>
      <c r="G46" s="1">
        <v>2024</v>
      </c>
      <c r="H46" s="3">
        <v>4</v>
      </c>
      <c r="I46" s="2" t="s">
        <v>34</v>
      </c>
      <c r="J46" s="1">
        <v>2024</v>
      </c>
      <c r="K46" s="2">
        <v>2026</v>
      </c>
      <c r="L46" s="2"/>
      <c r="M46" s="4" t="s">
        <v>38</v>
      </c>
      <c r="N46" s="5"/>
      <c r="O46" s="4"/>
      <c r="P46" s="67"/>
      <c r="Q46" s="69"/>
      <c r="R46" s="78"/>
      <c r="S46" s="83"/>
      <c r="T46" s="83"/>
    </row>
    <row r="47" spans="1:20" ht="15" thickBot="1" x14ac:dyDescent="0.4">
      <c r="A47" s="70"/>
      <c r="B47" s="21"/>
      <c r="C47" s="21" t="s">
        <v>16</v>
      </c>
      <c r="D47" s="21">
        <v>10</v>
      </c>
      <c r="E47" s="22" t="s">
        <v>17</v>
      </c>
      <c r="F47" s="23" t="s">
        <v>18</v>
      </c>
      <c r="G47" s="22">
        <v>2024</v>
      </c>
      <c r="H47" s="24">
        <v>4</v>
      </c>
      <c r="I47" s="23" t="s">
        <v>34</v>
      </c>
      <c r="J47" s="22">
        <v>2024</v>
      </c>
      <c r="K47" s="23">
        <v>2026</v>
      </c>
      <c r="L47" s="23"/>
      <c r="M47" s="25" t="s">
        <v>38</v>
      </c>
      <c r="N47" s="26"/>
      <c r="O47" s="25"/>
      <c r="P47" s="73"/>
      <c r="Q47" s="75"/>
      <c r="R47" s="78"/>
      <c r="S47" s="83"/>
      <c r="T47" s="83"/>
    </row>
    <row r="48" spans="1:20" x14ac:dyDescent="0.35">
      <c r="A48" s="68" t="s">
        <v>50</v>
      </c>
      <c r="B48" s="27"/>
      <c r="C48" s="27" t="s">
        <v>20</v>
      </c>
      <c r="D48" s="27">
        <v>50</v>
      </c>
      <c r="E48" s="28" t="s">
        <v>17</v>
      </c>
      <c r="F48" s="29" t="s">
        <v>18</v>
      </c>
      <c r="G48" s="28">
        <v>2024</v>
      </c>
      <c r="H48" s="30">
        <v>20</v>
      </c>
      <c r="I48" s="29" t="s">
        <v>34</v>
      </c>
      <c r="J48" s="28">
        <v>2024</v>
      </c>
      <c r="K48" s="29">
        <v>2026</v>
      </c>
      <c r="L48" s="29"/>
      <c r="M48" s="31" t="s">
        <v>38</v>
      </c>
      <c r="N48" s="32"/>
      <c r="O48" s="31"/>
      <c r="P48" s="67">
        <f>SUM(H48:H63)</f>
        <v>78</v>
      </c>
      <c r="Q48" s="71" t="s">
        <v>61</v>
      </c>
    </row>
    <row r="49" spans="1:17" x14ac:dyDescent="0.35">
      <c r="A49" s="68"/>
      <c r="B49" s="12"/>
      <c r="C49" s="12" t="s">
        <v>20</v>
      </c>
      <c r="D49" s="12">
        <v>10</v>
      </c>
      <c r="E49" s="1" t="s">
        <v>17</v>
      </c>
      <c r="F49" s="2" t="s">
        <v>18</v>
      </c>
      <c r="G49" s="1">
        <v>2024</v>
      </c>
      <c r="H49" s="3">
        <v>4</v>
      </c>
      <c r="I49" s="2" t="s">
        <v>34</v>
      </c>
      <c r="J49" s="1">
        <v>2024</v>
      </c>
      <c r="K49" s="2">
        <v>2026</v>
      </c>
      <c r="L49" s="2"/>
      <c r="M49" s="4" t="s">
        <v>38</v>
      </c>
      <c r="N49" s="5"/>
      <c r="O49" s="4"/>
      <c r="P49" s="67"/>
      <c r="Q49" s="71"/>
    </row>
    <row r="50" spans="1:17" x14ac:dyDescent="0.35">
      <c r="A50" s="68"/>
      <c r="B50" s="12"/>
      <c r="C50" s="12" t="s">
        <v>20</v>
      </c>
      <c r="D50" s="13">
        <v>10</v>
      </c>
      <c r="E50" s="1" t="s">
        <v>17</v>
      </c>
      <c r="F50" s="2" t="s">
        <v>18</v>
      </c>
      <c r="G50" s="1">
        <v>2024</v>
      </c>
      <c r="H50" s="3">
        <v>4</v>
      </c>
      <c r="I50" s="2" t="s">
        <v>34</v>
      </c>
      <c r="J50" s="1">
        <v>2024</v>
      </c>
      <c r="K50" s="2">
        <v>2026</v>
      </c>
      <c r="L50" s="2"/>
      <c r="M50" s="4" t="s">
        <v>38</v>
      </c>
      <c r="N50" s="5"/>
      <c r="O50" s="4"/>
      <c r="P50" s="67"/>
      <c r="Q50" s="71"/>
    </row>
    <row r="51" spans="1:17" x14ac:dyDescent="0.35">
      <c r="A51" s="68"/>
      <c r="B51" s="12"/>
      <c r="C51" s="12" t="s">
        <v>20</v>
      </c>
      <c r="D51" s="12">
        <v>10</v>
      </c>
      <c r="E51" s="1" t="s">
        <v>17</v>
      </c>
      <c r="F51" s="2" t="s">
        <v>18</v>
      </c>
      <c r="G51" s="1">
        <v>2024</v>
      </c>
      <c r="H51" s="3">
        <v>4</v>
      </c>
      <c r="I51" s="2" t="s">
        <v>34</v>
      </c>
      <c r="J51" s="1">
        <v>2024</v>
      </c>
      <c r="K51" s="2">
        <v>2026</v>
      </c>
      <c r="L51" s="2"/>
      <c r="M51" s="4" t="s">
        <v>38</v>
      </c>
      <c r="N51" s="5"/>
      <c r="O51" s="4"/>
      <c r="P51" s="67"/>
      <c r="Q51" s="71"/>
    </row>
    <row r="52" spans="1:17" x14ac:dyDescent="0.35">
      <c r="A52" s="68"/>
      <c r="B52" s="12"/>
      <c r="C52" s="12" t="s">
        <v>20</v>
      </c>
      <c r="D52" s="12">
        <v>10</v>
      </c>
      <c r="E52" s="1" t="s">
        <v>17</v>
      </c>
      <c r="F52" s="2" t="s">
        <v>18</v>
      </c>
      <c r="G52" s="1">
        <v>2024</v>
      </c>
      <c r="H52" s="3">
        <v>4</v>
      </c>
      <c r="I52" s="2" t="s">
        <v>34</v>
      </c>
      <c r="J52" s="1">
        <v>2024</v>
      </c>
      <c r="K52" s="2">
        <v>2026</v>
      </c>
      <c r="L52" s="2"/>
      <c r="M52" s="4" t="s">
        <v>38</v>
      </c>
      <c r="N52" s="5"/>
      <c r="O52" s="4"/>
      <c r="P52" s="67"/>
      <c r="Q52" s="71"/>
    </row>
    <row r="53" spans="1:17" x14ac:dyDescent="0.35">
      <c r="A53" s="68"/>
      <c r="B53" s="12"/>
      <c r="C53" s="12" t="s">
        <v>20</v>
      </c>
      <c r="D53" s="12">
        <v>5</v>
      </c>
      <c r="E53" s="1" t="s">
        <v>17</v>
      </c>
      <c r="F53" s="2" t="s">
        <v>18</v>
      </c>
      <c r="G53" s="1">
        <v>2024</v>
      </c>
      <c r="H53" s="3">
        <v>2</v>
      </c>
      <c r="I53" s="2" t="s">
        <v>34</v>
      </c>
      <c r="J53" s="1">
        <v>2024</v>
      </c>
      <c r="K53" s="2">
        <v>2026</v>
      </c>
      <c r="L53" s="2"/>
      <c r="M53" s="4" t="s">
        <v>38</v>
      </c>
      <c r="N53" s="5"/>
      <c r="O53" s="4"/>
      <c r="P53" s="67"/>
      <c r="Q53" s="71"/>
    </row>
    <row r="54" spans="1:17" x14ac:dyDescent="0.35">
      <c r="A54" s="68"/>
      <c r="B54" s="12"/>
      <c r="C54" s="12" t="s">
        <v>20</v>
      </c>
      <c r="D54" s="12">
        <v>5</v>
      </c>
      <c r="E54" s="1" t="s">
        <v>17</v>
      </c>
      <c r="F54" s="2" t="s">
        <v>18</v>
      </c>
      <c r="G54" s="1">
        <v>2024</v>
      </c>
      <c r="H54" s="3">
        <v>2</v>
      </c>
      <c r="I54" s="2" t="s">
        <v>34</v>
      </c>
      <c r="J54" s="1">
        <v>2024</v>
      </c>
      <c r="K54" s="2">
        <v>2026</v>
      </c>
      <c r="L54" s="2"/>
      <c r="M54" s="4" t="s">
        <v>38</v>
      </c>
      <c r="N54" s="5"/>
      <c r="O54" s="4"/>
      <c r="P54" s="67"/>
      <c r="Q54" s="71"/>
    </row>
    <row r="55" spans="1:17" x14ac:dyDescent="0.35">
      <c r="A55" s="68"/>
      <c r="B55" s="12"/>
      <c r="C55" s="12" t="s">
        <v>20</v>
      </c>
      <c r="D55" s="12">
        <v>5</v>
      </c>
      <c r="E55" s="1" t="s">
        <v>17</v>
      </c>
      <c r="F55" s="2" t="s">
        <v>18</v>
      </c>
      <c r="G55" s="1">
        <v>2024</v>
      </c>
      <c r="H55" s="3">
        <v>2</v>
      </c>
      <c r="I55" s="2" t="s">
        <v>34</v>
      </c>
      <c r="J55" s="1">
        <v>2024</v>
      </c>
      <c r="K55" s="2">
        <v>2026</v>
      </c>
      <c r="L55" s="2"/>
      <c r="M55" s="4" t="s">
        <v>38</v>
      </c>
      <c r="N55" s="5"/>
      <c r="O55" s="4"/>
      <c r="P55" s="67"/>
      <c r="Q55" s="71"/>
    </row>
    <row r="56" spans="1:17" x14ac:dyDescent="0.35">
      <c r="A56" s="68"/>
      <c r="B56" s="12"/>
      <c r="C56" s="12" t="s">
        <v>20</v>
      </c>
      <c r="D56" s="12">
        <v>5</v>
      </c>
      <c r="E56" s="1" t="s">
        <v>17</v>
      </c>
      <c r="F56" s="2" t="s">
        <v>18</v>
      </c>
      <c r="G56" s="1">
        <v>2024</v>
      </c>
      <c r="H56" s="3">
        <v>2</v>
      </c>
      <c r="I56" s="2" t="s">
        <v>34</v>
      </c>
      <c r="J56" s="1">
        <v>2024</v>
      </c>
      <c r="K56" s="2">
        <v>2026</v>
      </c>
      <c r="L56" s="2"/>
      <c r="M56" s="4" t="s">
        <v>38</v>
      </c>
      <c r="N56" s="5"/>
      <c r="O56" s="4"/>
      <c r="P56" s="67"/>
      <c r="Q56" s="71"/>
    </row>
    <row r="57" spans="1:17" x14ac:dyDescent="0.35">
      <c r="A57" s="68"/>
      <c r="B57" s="12"/>
      <c r="C57" s="12" t="s">
        <v>20</v>
      </c>
      <c r="D57" s="12">
        <v>5</v>
      </c>
      <c r="E57" s="1" t="s">
        <v>17</v>
      </c>
      <c r="F57" s="2" t="s">
        <v>18</v>
      </c>
      <c r="G57" s="1">
        <v>2024</v>
      </c>
      <c r="H57" s="3">
        <v>2</v>
      </c>
      <c r="I57" s="2" t="s">
        <v>34</v>
      </c>
      <c r="J57" s="1">
        <v>2024</v>
      </c>
      <c r="K57" s="2">
        <v>2026</v>
      </c>
      <c r="L57" s="2"/>
      <c r="M57" s="4" t="s">
        <v>38</v>
      </c>
      <c r="N57" s="5"/>
      <c r="O57" s="4"/>
      <c r="P57" s="67"/>
      <c r="Q57" s="71"/>
    </row>
    <row r="58" spans="1:17" x14ac:dyDescent="0.35">
      <c r="A58" s="68"/>
      <c r="B58" s="12"/>
      <c r="C58" s="12" t="s">
        <v>16</v>
      </c>
      <c r="D58" s="12">
        <v>20</v>
      </c>
      <c r="E58" s="1" t="s">
        <v>17</v>
      </c>
      <c r="F58" s="2" t="s">
        <v>18</v>
      </c>
      <c r="G58" s="1">
        <v>2024</v>
      </c>
      <c r="H58" s="3">
        <v>8</v>
      </c>
      <c r="I58" s="2" t="s">
        <v>34</v>
      </c>
      <c r="J58" s="1">
        <v>2024</v>
      </c>
      <c r="K58" s="2">
        <v>2026</v>
      </c>
      <c r="L58" s="2"/>
      <c r="M58" s="4" t="s">
        <v>38</v>
      </c>
      <c r="N58" s="5"/>
      <c r="O58" s="4"/>
      <c r="P58" s="67"/>
      <c r="Q58" s="71"/>
    </row>
    <row r="59" spans="1:17" x14ac:dyDescent="0.35">
      <c r="A59" s="68"/>
      <c r="B59" s="12"/>
      <c r="C59" s="12" t="s">
        <v>16</v>
      </c>
      <c r="D59" s="12">
        <v>20</v>
      </c>
      <c r="E59" s="1" t="s">
        <v>17</v>
      </c>
      <c r="F59" s="2" t="s">
        <v>18</v>
      </c>
      <c r="G59" s="1">
        <v>2024</v>
      </c>
      <c r="H59" s="3">
        <v>8</v>
      </c>
      <c r="I59" s="2" t="s">
        <v>34</v>
      </c>
      <c r="J59" s="1">
        <v>2024</v>
      </c>
      <c r="K59" s="2">
        <v>2026</v>
      </c>
      <c r="L59" s="2"/>
      <c r="M59" s="4" t="s">
        <v>38</v>
      </c>
      <c r="N59" s="5"/>
      <c r="O59" s="4"/>
      <c r="P59" s="67"/>
      <c r="Q59" s="71"/>
    </row>
    <row r="60" spans="1:17" x14ac:dyDescent="0.35">
      <c r="A60" s="68"/>
      <c r="B60" s="12"/>
      <c r="C60" s="12" t="s">
        <v>16</v>
      </c>
      <c r="D60" s="12">
        <v>10</v>
      </c>
      <c r="E60" s="1" t="s">
        <v>17</v>
      </c>
      <c r="F60" s="2" t="s">
        <v>18</v>
      </c>
      <c r="G60" s="1">
        <v>2024</v>
      </c>
      <c r="H60" s="3">
        <v>4</v>
      </c>
      <c r="I60" s="2" t="s">
        <v>34</v>
      </c>
      <c r="J60" s="1">
        <v>2024</v>
      </c>
      <c r="K60" s="2">
        <v>2026</v>
      </c>
      <c r="L60" s="2"/>
      <c r="M60" s="4" t="s">
        <v>38</v>
      </c>
      <c r="N60" s="5"/>
      <c r="O60" s="4"/>
      <c r="P60" s="67"/>
      <c r="Q60" s="71"/>
    </row>
    <row r="61" spans="1:17" x14ac:dyDescent="0.35">
      <c r="A61" s="68"/>
      <c r="B61" s="12"/>
      <c r="C61" s="12" t="s">
        <v>16</v>
      </c>
      <c r="D61" s="12">
        <v>10</v>
      </c>
      <c r="E61" s="1" t="s">
        <v>17</v>
      </c>
      <c r="F61" s="2" t="s">
        <v>18</v>
      </c>
      <c r="G61" s="1">
        <v>2024</v>
      </c>
      <c r="H61" s="3">
        <v>4</v>
      </c>
      <c r="I61" s="2" t="s">
        <v>34</v>
      </c>
      <c r="J61" s="1">
        <v>2024</v>
      </c>
      <c r="K61" s="2">
        <v>2026</v>
      </c>
      <c r="L61" s="2"/>
      <c r="M61" s="4" t="s">
        <v>38</v>
      </c>
      <c r="N61" s="5"/>
      <c r="O61" s="4"/>
      <c r="P61" s="67"/>
      <c r="Q61" s="71"/>
    </row>
    <row r="62" spans="1:17" x14ac:dyDescent="0.35">
      <c r="A62" s="68"/>
      <c r="B62" s="12"/>
      <c r="C62" s="12" t="s">
        <v>16</v>
      </c>
      <c r="D62" s="12">
        <v>10</v>
      </c>
      <c r="E62" s="1" t="s">
        <v>17</v>
      </c>
      <c r="F62" s="2" t="s">
        <v>18</v>
      </c>
      <c r="G62" s="1">
        <v>2024</v>
      </c>
      <c r="H62" s="3">
        <v>4</v>
      </c>
      <c r="I62" s="2" t="s">
        <v>34</v>
      </c>
      <c r="J62" s="1">
        <v>2024</v>
      </c>
      <c r="K62" s="2">
        <v>2026</v>
      </c>
      <c r="L62" s="2"/>
      <c r="M62" s="4" t="s">
        <v>38</v>
      </c>
      <c r="N62" s="5"/>
      <c r="O62" s="4"/>
      <c r="P62" s="67"/>
      <c r="Q62" s="71"/>
    </row>
    <row r="63" spans="1:17" ht="15" thickBot="1" x14ac:dyDescent="0.4">
      <c r="A63" s="70"/>
      <c r="B63" s="21"/>
      <c r="C63" s="21" t="s">
        <v>16</v>
      </c>
      <c r="D63" s="21">
        <v>10</v>
      </c>
      <c r="E63" s="22" t="s">
        <v>17</v>
      </c>
      <c r="F63" s="23" t="s">
        <v>18</v>
      </c>
      <c r="G63" s="22">
        <v>2024</v>
      </c>
      <c r="H63" s="24">
        <v>4</v>
      </c>
      <c r="I63" s="23" t="s">
        <v>34</v>
      </c>
      <c r="J63" s="22">
        <v>2024</v>
      </c>
      <c r="K63" s="23">
        <v>2026</v>
      </c>
      <c r="L63" s="23"/>
      <c r="M63" s="25" t="s">
        <v>38</v>
      </c>
      <c r="N63" s="26"/>
      <c r="O63" s="25"/>
      <c r="P63" s="73"/>
      <c r="Q63" s="72"/>
    </row>
    <row r="66" spans="1:17" x14ac:dyDescent="0.35">
      <c r="A66" s="9" t="s">
        <v>55</v>
      </c>
    </row>
    <row r="67" spans="1:17" x14ac:dyDescent="0.35">
      <c r="A67" s="9" t="s">
        <v>56</v>
      </c>
    </row>
    <row r="68" spans="1:17" x14ac:dyDescent="0.35">
      <c r="Q68" s="11"/>
    </row>
    <row r="77" spans="1:17" x14ac:dyDescent="0.35">
      <c r="P77" s="10"/>
    </row>
    <row r="79" spans="1:17" x14ac:dyDescent="0.35">
      <c r="O79" s="7"/>
    </row>
    <row r="81" spans="16:16" x14ac:dyDescent="0.35">
      <c r="P81" s="8"/>
    </row>
    <row r="101" ht="15" customHeight="1" x14ac:dyDescent="0.35"/>
    <row r="112" ht="15" customHeight="1" x14ac:dyDescent="0.35"/>
    <row r="123" ht="15" customHeight="1" x14ac:dyDescent="0.35"/>
    <row r="134" ht="15" customHeight="1" x14ac:dyDescent="0.35"/>
    <row r="156" ht="15" customHeight="1" x14ac:dyDescent="0.35"/>
  </sheetData>
  <autoFilter ref="A1:R1" xr:uid="{00000000-0009-0000-0000-000000000000}"/>
  <mergeCells count="47">
    <mergeCell ref="R40:T47"/>
    <mergeCell ref="R31:T33"/>
    <mergeCell ref="R23:T27"/>
    <mergeCell ref="R2:T7"/>
    <mergeCell ref="R18:T19"/>
    <mergeCell ref="R8:T11"/>
    <mergeCell ref="A34:A36"/>
    <mergeCell ref="P34:P36"/>
    <mergeCell ref="Q34:Q36"/>
    <mergeCell ref="Q23:Q27"/>
    <mergeCell ref="R15:T17"/>
    <mergeCell ref="R28:T30"/>
    <mergeCell ref="A31:A33"/>
    <mergeCell ref="P31:P33"/>
    <mergeCell ref="Q31:Q33"/>
    <mergeCell ref="A28:A30"/>
    <mergeCell ref="P28:P30"/>
    <mergeCell ref="Q28:Q30"/>
    <mergeCell ref="A48:A63"/>
    <mergeCell ref="Q48:Q63"/>
    <mergeCell ref="P48:P63"/>
    <mergeCell ref="A37:A39"/>
    <mergeCell ref="P37:P39"/>
    <mergeCell ref="Q37:Q39"/>
    <mergeCell ref="Q40:Q47"/>
    <mergeCell ref="P40:P47"/>
    <mergeCell ref="A40:A47"/>
    <mergeCell ref="Q12:Q14"/>
    <mergeCell ref="P12:P14"/>
    <mergeCell ref="A12:A14"/>
    <mergeCell ref="A15:A17"/>
    <mergeCell ref="P23:P27"/>
    <mergeCell ref="A23:A27"/>
    <mergeCell ref="A20:A22"/>
    <mergeCell ref="P20:P22"/>
    <mergeCell ref="Q20:Q22"/>
    <mergeCell ref="P15:P17"/>
    <mergeCell ref="Q15:Q17"/>
    <mergeCell ref="A18:A19"/>
    <mergeCell ref="Q18:Q19"/>
    <mergeCell ref="P18:P19"/>
    <mergeCell ref="Q2:Q7"/>
    <mergeCell ref="P2:P7"/>
    <mergeCell ref="A2:A7"/>
    <mergeCell ref="Q8:Q11"/>
    <mergeCell ref="P8:P11"/>
    <mergeCell ref="A8:A11"/>
  </mergeCells>
  <phoneticPr fontId="8" type="noConversion"/>
  <hyperlinks>
    <hyperlink ref="R40" r:id="rId1" xr:uid="{00000000-0004-0000-0000-000000000000}"/>
    <hyperlink ref="R23" r:id="rId2" xr:uid="{00000000-0004-0000-0000-000001000000}"/>
    <hyperlink ref="R18" r:id="rId3" xr:uid="{00000000-0004-0000-0000-000002000000}"/>
    <hyperlink ref="R15" r:id="rId4" xr:uid="{00000000-0004-0000-0000-000003000000}"/>
    <hyperlink ref="R28" r:id="rId5" xr:uid="{00000000-0004-0000-0000-000004000000}"/>
    <hyperlink ref="R2" r:id="rId6" xr:uid="{00000000-0004-0000-0000-000005000000}"/>
    <hyperlink ref="R8" r:id="rId7" xr:uid="{00000000-0004-0000-0000-000006000000}"/>
  </hyperlinks>
  <pageMargins left="0.7" right="0.7" top="0.75" bottom="0.75" header="0.3" footer="0.3"/>
  <pageSetup orientation="landscape" horizontalDpi="1200" verticalDpi="120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SUSHICORP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Sandra Guañuna</dc:creator>
  <cp:lastModifiedBy>a1014</cp:lastModifiedBy>
  <cp:lastPrinted>2026-03-12T20:03:42Z</cp:lastPrinted>
  <dcterms:created xsi:type="dcterms:W3CDTF">2025-01-29T16:43:29Z</dcterms:created>
  <dcterms:modified xsi:type="dcterms:W3CDTF">2026-03-13T00:14:12Z</dcterms:modified>
</cp:coreProperties>
</file>