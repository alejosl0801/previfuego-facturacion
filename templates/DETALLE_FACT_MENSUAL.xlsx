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ropbox\Previfuego\2026\0 GRUPO KFC\ABRIL\"/>
    </mc:Choice>
  </mc:AlternateContent>
  <xr:revisionPtr revIDLastSave="0" documentId="13_ncr:1_{681FAB4C-360E-41A1-9526-3AEB4FB87B0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MANGES" sheetId="5" r:id="rId1"/>
    <sheet name="MANT" sheetId="4" r:id="rId2"/>
  </sheets>
  <definedNames>
    <definedName name="_xlnm._FilterDatabase" localSheetId="0" hidden="1">MANGES!#REF!</definedName>
    <definedName name="_xlnm._FilterDatabase" localSheetId="1" hidden="1">MANT!$A$2:$O$14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4" l="1"/>
  <c r="M30" i="4"/>
  <c r="L30" i="4"/>
  <c r="O30" i="5"/>
  <c r="N30" i="5"/>
  <c r="M21" i="5" l="1"/>
  <c r="L32" i="4"/>
  <c r="L33" i="4" s="1"/>
  <c r="L28" i="4"/>
  <c r="M28" i="4" s="1"/>
  <c r="N28" i="4" s="1"/>
  <c r="L29" i="4"/>
  <c r="M29" i="4" s="1"/>
  <c r="N29" i="4" s="1"/>
  <c r="M27" i="5"/>
  <c r="M29" i="5"/>
  <c r="N29" i="5" s="1"/>
  <c r="O29" i="5" s="1"/>
  <c r="L17" i="4"/>
  <c r="M17" i="4" s="1"/>
  <c r="N17" i="4" s="1"/>
  <c r="L9" i="4"/>
  <c r="M9" i="4" s="1"/>
  <c r="N9" i="4" s="1"/>
  <c r="L8" i="4"/>
  <c r="M8" i="4" s="1"/>
  <c r="N8" i="4" s="1"/>
  <c r="L7" i="4"/>
  <c r="M7" i="4" s="1"/>
  <c r="N7" i="4" s="1"/>
  <c r="M7" i="5"/>
  <c r="L27" i="4"/>
  <c r="L24" i="4"/>
  <c r="M24" i="4" s="1"/>
  <c r="N24" i="4" s="1"/>
  <c r="L23" i="4"/>
  <c r="M23" i="4" s="1"/>
  <c r="N23" i="4" s="1"/>
  <c r="M32" i="4" l="1"/>
  <c r="M27" i="4"/>
  <c r="M33" i="4" l="1"/>
  <c r="N32" i="4"/>
  <c r="N33" i="4" s="1"/>
  <c r="N27" i="4"/>
  <c r="M3" i="5"/>
  <c r="L16" i="4" l="1"/>
  <c r="L3" i="4"/>
  <c r="M11" i="5"/>
  <c r="N11" i="5" s="1"/>
  <c r="O11" i="5" s="1"/>
  <c r="N7" i="5"/>
  <c r="O7" i="5" s="1"/>
  <c r="L19" i="4"/>
  <c r="M19" i="4" s="1"/>
  <c r="N19" i="4" s="1"/>
  <c r="L11" i="4"/>
  <c r="M11" i="4" s="1"/>
  <c r="N11" i="4" s="1"/>
  <c r="M17" i="5" l="1"/>
  <c r="M16" i="4"/>
  <c r="M3" i="4"/>
  <c r="M30" i="5"/>
  <c r="N3" i="4" l="1"/>
  <c r="N16" i="4"/>
  <c r="M25" i="5"/>
  <c r="N3" i="5" l="1"/>
  <c r="L22" i="4"/>
  <c r="L25" i="4" s="1"/>
  <c r="L18" i="4"/>
  <c r="L20" i="4" s="1"/>
  <c r="N21" i="5"/>
  <c r="O3" i="5" l="1"/>
  <c r="O17" i="5" s="1"/>
  <c r="N17" i="5"/>
  <c r="M18" i="4"/>
  <c r="M22" i="4"/>
  <c r="M25" i="4" s="1"/>
  <c r="N27" i="5"/>
  <c r="L10" i="4"/>
  <c r="N18" i="4" l="1"/>
  <c r="N20" i="4" s="1"/>
  <c r="M20" i="4"/>
  <c r="M10" i="4"/>
  <c r="N10" i="4" s="1"/>
  <c r="N22" i="4"/>
  <c r="N25" i="4" s="1"/>
  <c r="N25" i="5"/>
  <c r="O27" i="5"/>
  <c r="O21" i="5"/>
  <c r="O25" i="5" s="1"/>
  <c r="L5" i="4" l="1"/>
  <c r="L6" i="4"/>
  <c r="M6" i="4" l="1"/>
  <c r="N6" i="4" s="1"/>
  <c r="M5" i="4"/>
  <c r="N5" i="4" s="1"/>
  <c r="L4" i="4"/>
  <c r="L12" i="4" s="1"/>
  <c r="M4" i="4" l="1"/>
  <c r="M12" i="4" s="1"/>
  <c r="N4" i="4" l="1"/>
  <c r="N12" i="4" s="1"/>
</calcChain>
</file>

<file path=xl/sharedStrings.xml><?xml version="1.0" encoding="utf-8"?>
<sst xmlns="http://schemas.openxmlformats.org/spreadsheetml/2006/main" count="352" uniqueCount="141">
  <si>
    <t>EMPRESA</t>
  </si>
  <si>
    <t>MARCA</t>
  </si>
  <si>
    <t>DIRECCIÓN</t>
  </si>
  <si>
    <t>CIUDAD</t>
  </si>
  <si>
    <t>CENTRO DE COSTO</t>
  </si>
  <si>
    <t>No. DE EXTINTORES</t>
  </si>
  <si>
    <t>TIPO</t>
  </si>
  <si>
    <t>CAPACIDAD</t>
  </si>
  <si>
    <t>SUBTOTAL</t>
  </si>
  <si>
    <t>IVA</t>
  </si>
  <si>
    <t>TOTAL</t>
  </si>
  <si>
    <t>DATOS DE LA EMPRESA</t>
  </si>
  <si>
    <t>DESCRIPCIÓN DE TRABAJOS REALIZADOS</t>
  </si>
  <si>
    <t>DETALLE DE COSTOS</t>
  </si>
  <si>
    <t>CO2</t>
  </si>
  <si>
    <t>INT FOOD SERVICES CORP</t>
  </si>
  <si>
    <t>KFC</t>
  </si>
  <si>
    <t>PQS</t>
  </si>
  <si>
    <t>10LBS</t>
  </si>
  <si>
    <t>JEFE DE OPERACIONES QUE AUTORIZA</t>
  </si>
  <si>
    <t># N. ENTREGA</t>
  </si>
  <si>
    <t>EQUIPO/SERVICIO ENTREGADO</t>
  </si>
  <si>
    <t>-</t>
  </si>
  <si>
    <t>GUAYAQUIL</t>
  </si>
  <si>
    <t>50LBS</t>
  </si>
  <si>
    <t>5LBS</t>
  </si>
  <si>
    <t>VALOR UNIT</t>
  </si>
  <si>
    <t>TOTAL:</t>
  </si>
  <si>
    <t>M/R</t>
  </si>
  <si>
    <t>OBSERVACION</t>
  </si>
  <si>
    <t>SOLICITADO POR EL LOCAL</t>
  </si>
  <si>
    <t>LAMPARA EMERGENCIA</t>
  </si>
  <si>
    <t>CENT. DE COSTO</t>
  </si>
  <si>
    <t>#  EXTINTORES</t>
  </si>
  <si>
    <t xml:space="preserve">INT FOOD SERVICES CORP </t>
  </si>
  <si>
    <t>2,5GLNS</t>
  </si>
  <si>
    <t>K</t>
  </si>
  <si>
    <t>PROCAFECOL SA</t>
  </si>
  <si>
    <t>JUAN VALDEZ</t>
  </si>
  <si>
    <t>SHEMLON SA</t>
  </si>
  <si>
    <t>DELI INTERNACIONAL SA</t>
  </si>
  <si>
    <t>IL CAPPO</t>
  </si>
  <si>
    <t>SOLICITADO POR LOCAL</t>
  </si>
  <si>
    <t>M</t>
  </si>
  <si>
    <t>SAMBORONDON</t>
  </si>
  <si>
    <t>MALL DEL SUR</t>
  </si>
  <si>
    <t>DURAN</t>
  </si>
  <si>
    <t>GUS</t>
  </si>
  <si>
    <t>6734</t>
  </si>
  <si>
    <t>SEDALANA</t>
  </si>
  <si>
    <t>K117</t>
  </si>
  <si>
    <t>LETREROS INSTRUCTIVOS EXTINTORES</t>
  </si>
  <si>
    <t>MALL DEL RIO</t>
  </si>
  <si>
    <t>K161</t>
  </si>
  <si>
    <t>6772</t>
  </si>
  <si>
    <t>TUNGURAHUA</t>
  </si>
  <si>
    <t>G45</t>
  </si>
  <si>
    <t>6808</t>
  </si>
  <si>
    <t xml:space="preserve">PASEO SHOPPING </t>
  </si>
  <si>
    <t>PLAYAS VILLAMIL</t>
  </si>
  <si>
    <t>K82</t>
  </si>
  <si>
    <t>MOVILIZACION GYE/PLAYAS</t>
  </si>
  <si>
    <t>6764</t>
  </si>
  <si>
    <t>BENEFICENCIA</t>
  </si>
  <si>
    <t>K67</t>
  </si>
  <si>
    <t>6753</t>
  </si>
  <si>
    <t>DOMINGO COMIN</t>
  </si>
  <si>
    <t>K183</t>
  </si>
  <si>
    <t>MANT20CO2 Y SEÑALETICAS</t>
  </si>
  <si>
    <t>6759</t>
  </si>
  <si>
    <t>2(REC5CO2) 2CABEZALES 2 CORNETAS</t>
  </si>
  <si>
    <t>6768</t>
  </si>
  <si>
    <t>6769</t>
  </si>
  <si>
    <t>OFICINAS GRUPO KFC</t>
  </si>
  <si>
    <t>2 PEDESTALES PARA EXTINTORES Y SEÑALETICAS</t>
  </si>
  <si>
    <t>6770</t>
  </si>
  <si>
    <t>HIPER VIA A DAULE</t>
  </si>
  <si>
    <t>K88</t>
  </si>
  <si>
    <t>6779</t>
  </si>
  <si>
    <t>6587</t>
  </si>
  <si>
    <t>LIGA CANTONAL</t>
  </si>
  <si>
    <t>K153</t>
  </si>
  <si>
    <t>VENT 20 CO2 NUEVO</t>
  </si>
  <si>
    <t>6589</t>
  </si>
  <si>
    <t>VENT 10PQS NUEVO</t>
  </si>
  <si>
    <t>6811</t>
  </si>
  <si>
    <t xml:space="preserve">  </t>
  </si>
  <si>
    <t>CAJUN</t>
  </si>
  <si>
    <t>J001</t>
  </si>
  <si>
    <t>VISITA TECNICA Y SEGUROS DE EXTINTORES</t>
  </si>
  <si>
    <t>6751</t>
  </si>
  <si>
    <t>CASA RES</t>
  </si>
  <si>
    <t>ORELLANA</t>
  </si>
  <si>
    <t>R010</t>
  </si>
  <si>
    <t>VENT20PQS, CAJETINES Y LETREROS</t>
  </si>
  <si>
    <t>6752</t>
  </si>
  <si>
    <t xml:space="preserve">MENESTRAS </t>
  </si>
  <si>
    <t>RIOC EL DORADO</t>
  </si>
  <si>
    <t>M50</t>
  </si>
  <si>
    <t>6757</t>
  </si>
  <si>
    <t>J019</t>
  </si>
  <si>
    <t>REC10CO2 Y CABEZAL CO2</t>
  </si>
  <si>
    <t>6778</t>
  </si>
  <si>
    <t>DOLCE INC</t>
  </si>
  <si>
    <t>RIOC ENTRE RIOS</t>
  </si>
  <si>
    <t>DI03</t>
  </si>
  <si>
    <t>VISITA TECNICA Y SEGUROS EXTINTORES</t>
  </si>
  <si>
    <t xml:space="preserve">TROPI </t>
  </si>
  <si>
    <t>TERMINAL GYE</t>
  </si>
  <si>
    <t>T032</t>
  </si>
  <si>
    <t>VISITA TECNICA , REUBICACIONES VARIAS</t>
  </si>
  <si>
    <t>MALECON PEÑAS</t>
  </si>
  <si>
    <t>T051</t>
  </si>
  <si>
    <t>REC10PQS</t>
  </si>
  <si>
    <t>NOVOEVENTOS</t>
  </si>
  <si>
    <t xml:space="preserve">CORAL </t>
  </si>
  <si>
    <t>JV57</t>
  </si>
  <si>
    <t>PASEO SHOPP</t>
  </si>
  <si>
    <t>DAULE</t>
  </si>
  <si>
    <t>JV87</t>
  </si>
  <si>
    <t>6773</t>
  </si>
  <si>
    <t>6774</t>
  </si>
  <si>
    <t>GRAN PIAZZA</t>
  </si>
  <si>
    <t>MACHALA</t>
  </si>
  <si>
    <t>V082</t>
  </si>
  <si>
    <t>VENT10CO2</t>
  </si>
  <si>
    <t>SOPORTE PEDESTAL PARA EXTINTOR</t>
  </si>
  <si>
    <t>POLICENTRO</t>
  </si>
  <si>
    <t>V016</t>
  </si>
  <si>
    <t xml:space="preserve"> MANTENIMIENTO EXTINTOR Y PEDESTAL</t>
  </si>
  <si>
    <t>TERMINAL</t>
  </si>
  <si>
    <t>I012</t>
  </si>
  <si>
    <t>VISITA TECNICA Y REUBICACION DE EXTINTORES</t>
  </si>
  <si>
    <t>FACT 001-002-3296</t>
  </si>
  <si>
    <t>FACT 001-002-3297</t>
  </si>
  <si>
    <t>FACT 001-002-3298</t>
  </si>
  <si>
    <t>FACT 001-002-3299</t>
  </si>
  <si>
    <t>FACT 001-002-3300</t>
  </si>
  <si>
    <t>FACT 001-002-3301</t>
  </si>
  <si>
    <t>FACT 001-002-3302</t>
  </si>
  <si>
    <t>FACT 001-002-3303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</si>
</sst>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44" fontId="1" fillId="0" borderId="0" xfId="0" applyNumberFormat="1" applyFont="1" applyAlignment="1">
      <alignment vertical="center"/>
    </xf>
    <xf numFmtId="44" fontId="0" fillId="0" borderId="0" xfId="0" applyNumberFormat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44" fontId="3" fillId="8" borderId="1" xfId="0" applyNumberFormat="1" applyFont="1" applyFill="1" applyBorder="1" applyAlignment="1">
      <alignment vertical="center" wrapText="1"/>
    </xf>
    <xf numFmtId="0" fontId="5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4" fontId="1" fillId="9" borderId="0" xfId="0" applyNumberFormat="1" applyFont="1" applyFill="1" applyAlignment="1">
      <alignment vertical="center"/>
    </xf>
    <xf numFmtId="44" fontId="3" fillId="9" borderId="0" xfId="0" applyNumberFormat="1" applyFont="1" applyFill="1" applyAlignment="1">
      <alignment vertical="center" wrapText="1"/>
    </xf>
    <xf numFmtId="49" fontId="3" fillId="9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44" fontId="1" fillId="9" borderId="11" xfId="0" applyNumberFormat="1" applyFont="1" applyFill="1" applyBorder="1" applyAlignment="1">
      <alignment vertical="center"/>
    </xf>
    <xf numFmtId="44" fontId="1" fillId="9" borderId="12" xfId="0" applyNumberFormat="1" applyFont="1" applyFill="1" applyBorder="1" applyAlignment="1">
      <alignment vertical="center"/>
    </xf>
    <xf numFmtId="44" fontId="3" fillId="8" borderId="1" xfId="1" applyFont="1" applyFill="1" applyBorder="1" applyAlignment="1">
      <alignment vertical="center" wrapText="1"/>
    </xf>
    <xf numFmtId="14" fontId="10" fillId="9" borderId="12" xfId="0" applyNumberFormat="1" applyFont="1" applyFill="1" applyBorder="1" applyAlignment="1">
      <alignment horizontal="center" vertical="center"/>
    </xf>
    <xf numFmtId="14" fontId="10" fillId="9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44" fontId="3" fillId="4" borderId="15" xfId="0" applyNumberFormat="1" applyFont="1" applyFill="1" applyBorder="1" applyAlignment="1">
      <alignment horizontal="center" vertical="center"/>
    </xf>
    <xf numFmtId="44" fontId="3" fillId="4" borderId="4" xfId="0" applyNumberFormat="1" applyFont="1" applyFill="1" applyBorder="1" applyAlignment="1">
      <alignment horizontal="center" vertical="center"/>
    </xf>
    <xf numFmtId="44" fontId="3" fillId="4" borderId="16" xfId="0" applyNumberFormat="1" applyFont="1" applyFill="1" applyBorder="1" applyAlignment="1">
      <alignment horizontal="center" vertical="center"/>
    </xf>
    <xf numFmtId="44" fontId="3" fillId="4" borderId="3" xfId="0" applyNumberFormat="1" applyFont="1" applyFill="1" applyBorder="1" applyAlignment="1">
      <alignment horizontal="center" vertical="center"/>
    </xf>
    <xf numFmtId="44" fontId="3" fillId="4" borderId="14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44" fontId="1" fillId="11" borderId="1" xfId="0" applyNumberFormat="1" applyFont="1" applyFill="1" applyBorder="1" applyAlignment="1">
      <alignment vertical="center"/>
    </xf>
    <xf numFmtId="44" fontId="3" fillId="11" borderId="1" xfId="0" applyNumberFormat="1" applyFont="1" applyFill="1" applyBorder="1" applyAlignment="1">
      <alignment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44" fontId="1" fillId="12" borderId="1" xfId="0" applyNumberFormat="1" applyFont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44" fontId="1" fillId="8" borderId="1" xfId="0" applyNumberFormat="1" applyFont="1" applyFill="1" applyBorder="1" applyAlignment="1">
      <alignment vertical="center"/>
    </xf>
    <xf numFmtId="44" fontId="1" fillId="8" borderId="1" xfId="1" applyFont="1" applyFill="1" applyBorder="1" applyAlignment="1">
      <alignment vertical="center" wrapText="1"/>
    </xf>
    <xf numFmtId="44" fontId="1" fillId="8" borderId="1" xfId="0" applyNumberFormat="1" applyFont="1" applyFill="1" applyBorder="1" applyAlignment="1">
      <alignment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44" fontId="1" fillId="13" borderId="1" xfId="0" applyNumberFormat="1" applyFont="1" applyFill="1" applyBorder="1" applyAlignment="1">
      <alignment vertical="center"/>
    </xf>
    <xf numFmtId="44" fontId="1" fillId="13" borderId="1" xfId="1" applyFont="1" applyFill="1" applyBorder="1" applyAlignment="1">
      <alignment vertical="center" wrapText="1"/>
    </xf>
    <xf numFmtId="44" fontId="1" fillId="13" borderId="1" xfId="0" applyNumberFormat="1" applyFont="1" applyFill="1" applyBorder="1" applyAlignment="1">
      <alignment vertical="center" wrapText="1"/>
    </xf>
    <xf numFmtId="49" fontId="1" fillId="13" borderId="1" xfId="0" applyNumberFormat="1" applyFont="1" applyFill="1" applyBorder="1" applyAlignment="1">
      <alignment horizontal="center" vertical="center" wrapText="1"/>
    </xf>
    <xf numFmtId="0" fontId="3" fillId="13" borderId="24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13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44" fontId="1" fillId="12" borderId="3" xfId="0" applyNumberFormat="1" applyFont="1" applyFill="1" applyBorder="1" applyAlignment="1">
      <alignment vertical="center"/>
    </xf>
    <xf numFmtId="44" fontId="1" fillId="12" borderId="3" xfId="1" applyFont="1" applyFill="1" applyBorder="1" applyAlignment="1">
      <alignment vertical="center" wrapText="1"/>
    </xf>
    <xf numFmtId="44" fontId="1" fillId="12" borderId="3" xfId="0" applyNumberFormat="1" applyFont="1" applyFill="1" applyBorder="1" applyAlignment="1">
      <alignment vertical="center" wrapText="1"/>
    </xf>
    <xf numFmtId="49" fontId="1" fillId="12" borderId="3" xfId="0" applyNumberFormat="1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/>
    </xf>
    <xf numFmtId="0" fontId="3" fillId="12" borderId="30" xfId="0" applyFont="1" applyFill="1" applyBorder="1" applyAlignment="1">
      <alignment horizontal="center" vertical="center" wrapText="1"/>
    </xf>
    <xf numFmtId="0" fontId="3" fillId="12" borderId="31" xfId="0" applyFont="1" applyFill="1" applyBorder="1" applyAlignment="1">
      <alignment horizontal="center" vertical="center" wrapText="1"/>
    </xf>
    <xf numFmtId="0" fontId="5" fillId="12" borderId="31" xfId="0" applyFont="1" applyFill="1" applyBorder="1" applyAlignment="1">
      <alignment horizontal="center" vertical="center" wrapText="1"/>
    </xf>
    <xf numFmtId="0" fontId="5" fillId="12" borderId="31" xfId="0" applyFont="1" applyFill="1" applyBorder="1" applyAlignment="1">
      <alignment horizontal="center" vertical="center"/>
    </xf>
    <xf numFmtId="44" fontId="1" fillId="12" borderId="31" xfId="0" applyNumberFormat="1" applyFont="1" applyFill="1" applyBorder="1" applyAlignment="1">
      <alignment vertical="center"/>
    </xf>
    <xf numFmtId="44" fontId="1" fillId="12" borderId="31" xfId="1" applyFont="1" applyFill="1" applyBorder="1" applyAlignment="1">
      <alignment vertical="center" wrapText="1"/>
    </xf>
    <xf numFmtId="44" fontId="1" fillId="12" borderId="31" xfId="0" applyNumberFormat="1" applyFont="1" applyFill="1" applyBorder="1" applyAlignment="1">
      <alignment vertical="center" wrapText="1"/>
    </xf>
    <xf numFmtId="49" fontId="1" fillId="12" borderId="31" xfId="0" applyNumberFormat="1" applyFont="1" applyFill="1" applyBorder="1" applyAlignment="1">
      <alignment horizontal="center" vertical="center" wrapText="1"/>
    </xf>
    <xf numFmtId="0" fontId="1" fillId="12" borderId="3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44" fontId="1" fillId="12" borderId="1" xfId="1" applyFont="1" applyFill="1" applyBorder="1" applyAlignment="1">
      <alignment vertical="center" wrapText="1"/>
    </xf>
    <xf numFmtId="44" fontId="1" fillId="12" borderId="1" xfId="0" applyNumberFormat="1" applyFont="1" applyFill="1" applyBorder="1" applyAlignment="1">
      <alignment vertical="center" wrapText="1"/>
    </xf>
    <xf numFmtId="49" fontId="1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44" fontId="1" fillId="13" borderId="3" xfId="0" applyNumberFormat="1" applyFont="1" applyFill="1" applyBorder="1" applyAlignment="1">
      <alignment vertical="center"/>
    </xf>
    <xf numFmtId="44" fontId="1" fillId="13" borderId="3" xfId="1" applyFont="1" applyFill="1" applyBorder="1" applyAlignment="1">
      <alignment vertical="center" wrapText="1"/>
    </xf>
    <xf numFmtId="44" fontId="1" fillId="13" borderId="3" xfId="0" applyNumberFormat="1" applyFont="1" applyFill="1" applyBorder="1" applyAlignment="1">
      <alignment vertical="center" wrapText="1"/>
    </xf>
    <xf numFmtId="49" fontId="1" fillId="13" borderId="3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44" fontId="1" fillId="14" borderId="1" xfId="0" applyNumberFormat="1" applyFont="1" applyFill="1" applyBorder="1" applyAlignment="1">
      <alignment vertical="center"/>
    </xf>
    <xf numFmtId="44" fontId="3" fillId="14" borderId="1" xfId="0" applyNumberFormat="1" applyFont="1" applyFill="1" applyBorder="1" applyAlignment="1">
      <alignment vertical="center" wrapText="1"/>
    </xf>
    <xf numFmtId="0" fontId="5" fillId="14" borderId="1" xfId="0" applyFont="1" applyFill="1" applyBorder="1" applyAlignment="1">
      <alignment horizontal="center" vertical="center"/>
    </xf>
    <xf numFmtId="44" fontId="1" fillId="14" borderId="1" xfId="1" applyFont="1" applyFill="1" applyBorder="1" applyAlignment="1">
      <alignment vertical="center" wrapText="1"/>
    </xf>
    <xf numFmtId="44" fontId="1" fillId="14" borderId="1" xfId="0" applyNumberFormat="1" applyFont="1" applyFill="1" applyBorder="1" applyAlignment="1">
      <alignment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49" fontId="3" fillId="14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44" fontId="1" fillId="11" borderId="1" xfId="1" applyFont="1" applyFill="1" applyBorder="1" applyAlignment="1">
      <alignment vertical="center" wrapText="1"/>
    </xf>
    <xf numFmtId="44" fontId="1" fillId="11" borderId="1" xfId="0" applyNumberFormat="1" applyFont="1" applyFill="1" applyBorder="1" applyAlignment="1">
      <alignment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9" fillId="14" borderId="11" xfId="0" applyFont="1" applyFill="1" applyBorder="1" applyAlignment="1">
      <alignment horizontal="center" vertical="center"/>
    </xf>
    <xf numFmtId="0" fontId="9" fillId="14" borderId="18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center" vertical="center"/>
    </xf>
    <xf numFmtId="0" fontId="9" fillId="13" borderId="18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0" fontId="9" fillId="11" borderId="2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14" borderId="28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9" fillId="14" borderId="29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CCFF"/>
      <color rgb="FFFF99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tabSelected="1" topLeftCell="A2" zoomScale="70" zoomScaleNormal="70" workbookViewId="0">
      <selection activeCell="K21" sqref="K21"/>
    </sheetView>
  </sheetViews>
  <sheetFormatPr baseColWidth="10" defaultColWidth="11.42578125" defaultRowHeight="12" x14ac:dyDescent="0.25"/>
  <cols>
    <col min="1" max="1" width="23" style="2" bestFit="1" customWidth="1"/>
    <col min="2" max="2" width="16" style="2" bestFit="1" customWidth="1"/>
    <col min="3" max="3" width="22.42578125" style="2" bestFit="1" customWidth="1"/>
    <col min="4" max="4" width="16.42578125" style="2" customWidth="1"/>
    <col min="5" max="5" width="17.140625" style="2" bestFit="1" customWidth="1"/>
    <col min="6" max="6" width="27.140625" style="2" bestFit="1" customWidth="1"/>
    <col min="7" max="7" width="17.42578125" style="2" bestFit="1" customWidth="1"/>
    <col min="8" max="8" width="5" style="2" bestFit="1" customWidth="1"/>
    <col min="9" max="9" width="11.42578125" style="2" bestFit="1" customWidth="1"/>
    <col min="10" max="10" width="4.85546875" style="2" bestFit="1" customWidth="1"/>
    <col min="11" max="11" width="21.7109375" style="7" bestFit="1" customWidth="1"/>
    <col min="12" max="12" width="12.140625" style="2" bestFit="1" customWidth="1"/>
    <col min="13" max="13" width="11" style="2" bestFit="1" customWidth="1"/>
    <col min="14" max="14" width="8.5703125" style="2" bestFit="1" customWidth="1"/>
    <col min="15" max="15" width="10" style="2" bestFit="1" customWidth="1"/>
    <col min="16" max="16" width="19" style="2" customWidth="1"/>
    <col min="17" max="16384" width="11.42578125" style="2"/>
  </cols>
  <sheetData>
    <row r="1" spans="1:16" ht="20.100000000000001" customHeight="1" thickBot="1" x14ac:dyDescent="0.3">
      <c r="A1" s="132" t="s">
        <v>11</v>
      </c>
      <c r="B1" s="133"/>
      <c r="C1" s="133"/>
      <c r="D1" s="133"/>
      <c r="E1" s="134"/>
      <c r="F1" s="135" t="s">
        <v>12</v>
      </c>
      <c r="G1" s="136"/>
      <c r="H1" s="136"/>
      <c r="I1" s="136"/>
      <c r="J1" s="136"/>
      <c r="K1" s="137"/>
      <c r="L1" s="138" t="s">
        <v>13</v>
      </c>
      <c r="M1" s="139"/>
      <c r="N1" s="139"/>
      <c r="O1" s="139"/>
      <c r="P1" s="145"/>
    </row>
    <row r="2" spans="1:16" s="3" customFormat="1" ht="48.75" customHeight="1" x14ac:dyDescent="0.25">
      <c r="A2" s="28" t="s">
        <v>0</v>
      </c>
      <c r="B2" s="29" t="s">
        <v>1</v>
      </c>
      <c r="C2" s="29" t="s">
        <v>2</v>
      </c>
      <c r="D2" s="29" t="s">
        <v>3</v>
      </c>
      <c r="E2" s="30" t="s">
        <v>4</v>
      </c>
      <c r="F2" s="31" t="s">
        <v>21</v>
      </c>
      <c r="G2" s="31" t="s">
        <v>5</v>
      </c>
      <c r="H2" s="32" t="s">
        <v>6</v>
      </c>
      <c r="I2" s="32" t="s">
        <v>7</v>
      </c>
      <c r="J2" s="33" t="s">
        <v>28</v>
      </c>
      <c r="K2" s="34" t="s">
        <v>19</v>
      </c>
      <c r="L2" s="35" t="s">
        <v>26</v>
      </c>
      <c r="M2" s="36" t="s">
        <v>8</v>
      </c>
      <c r="N2" s="37" t="s">
        <v>9</v>
      </c>
      <c r="O2" s="38" t="s">
        <v>10</v>
      </c>
      <c r="P2" s="36" t="s">
        <v>20</v>
      </c>
    </row>
    <row r="3" spans="1:16" ht="12.75" customHeight="1" x14ac:dyDescent="0.25">
      <c r="A3" s="5" t="s">
        <v>15</v>
      </c>
      <c r="B3" s="5" t="s">
        <v>16</v>
      </c>
      <c r="C3" s="6" t="s">
        <v>52</v>
      </c>
      <c r="D3" s="5" t="s">
        <v>23</v>
      </c>
      <c r="E3" s="5" t="s">
        <v>53</v>
      </c>
      <c r="F3" s="5"/>
      <c r="G3" s="5">
        <v>1</v>
      </c>
      <c r="H3" s="5" t="s">
        <v>14</v>
      </c>
      <c r="I3" s="5" t="s">
        <v>24</v>
      </c>
      <c r="J3" s="5" t="s">
        <v>43</v>
      </c>
      <c r="K3" s="40"/>
      <c r="L3" s="23">
        <v>20</v>
      </c>
      <c r="M3" s="23">
        <f>SUM(L3:L6)</f>
        <v>36</v>
      </c>
      <c r="N3" s="11">
        <f>M3*0.15</f>
        <v>5.3999999999999995</v>
      </c>
      <c r="O3" s="11">
        <f>N3+M3</f>
        <v>41.4</v>
      </c>
      <c r="P3" s="94" t="s">
        <v>54</v>
      </c>
    </row>
    <row r="4" spans="1:16" ht="12.75" customHeight="1" x14ac:dyDescent="0.25">
      <c r="A4" s="5"/>
      <c r="B4" s="5"/>
      <c r="C4" s="6"/>
      <c r="D4" s="5"/>
      <c r="E4" s="5"/>
      <c r="F4" s="5"/>
      <c r="G4" s="5">
        <v>1</v>
      </c>
      <c r="H4" s="5" t="s">
        <v>14</v>
      </c>
      <c r="I4" s="5" t="s">
        <v>18</v>
      </c>
      <c r="J4" s="5" t="s">
        <v>43</v>
      </c>
      <c r="K4" s="40"/>
      <c r="L4" s="23">
        <v>4</v>
      </c>
      <c r="M4" s="23"/>
      <c r="N4" s="11"/>
      <c r="O4" s="11"/>
      <c r="P4" s="94"/>
    </row>
    <row r="5" spans="1:16" ht="12.75" customHeight="1" x14ac:dyDescent="0.25">
      <c r="A5" s="5"/>
      <c r="B5" s="5"/>
      <c r="C5" s="6"/>
      <c r="D5" s="5"/>
      <c r="E5" s="5"/>
      <c r="F5" s="5"/>
      <c r="G5" s="5">
        <v>1</v>
      </c>
      <c r="H5" s="5" t="s">
        <v>17</v>
      </c>
      <c r="I5" s="5" t="s">
        <v>18</v>
      </c>
      <c r="J5" s="5" t="s">
        <v>43</v>
      </c>
      <c r="K5" s="40"/>
      <c r="L5" s="23">
        <v>4</v>
      </c>
      <c r="M5" s="23"/>
      <c r="N5" s="11"/>
      <c r="O5" s="11"/>
      <c r="P5" s="94"/>
    </row>
    <row r="6" spans="1:16" ht="12.75" customHeight="1" x14ac:dyDescent="0.25">
      <c r="A6" s="5"/>
      <c r="B6" s="5"/>
      <c r="C6" s="6"/>
      <c r="D6" s="5"/>
      <c r="E6" s="5"/>
      <c r="F6" s="5"/>
      <c r="G6" s="5">
        <v>1</v>
      </c>
      <c r="H6" s="5" t="s">
        <v>36</v>
      </c>
      <c r="I6" s="5" t="s">
        <v>35</v>
      </c>
      <c r="J6" s="5" t="s">
        <v>43</v>
      </c>
      <c r="K6" s="40"/>
      <c r="L6" s="23">
        <v>8</v>
      </c>
      <c r="M6" s="23"/>
      <c r="N6" s="11"/>
      <c r="O6" s="11"/>
      <c r="P6" s="94"/>
    </row>
    <row r="7" spans="1:16" ht="12.75" customHeight="1" x14ac:dyDescent="0.25">
      <c r="A7" s="5" t="s">
        <v>15</v>
      </c>
      <c r="B7" s="5" t="s">
        <v>47</v>
      </c>
      <c r="C7" s="6" t="s">
        <v>55</v>
      </c>
      <c r="D7" s="5" t="s">
        <v>23</v>
      </c>
      <c r="E7" s="5" t="s">
        <v>56</v>
      </c>
      <c r="F7" s="5"/>
      <c r="G7" s="5">
        <v>1</v>
      </c>
      <c r="H7" s="5" t="s">
        <v>14</v>
      </c>
      <c r="I7" s="5" t="s">
        <v>24</v>
      </c>
      <c r="J7" s="5" t="s">
        <v>43</v>
      </c>
      <c r="K7" s="40"/>
      <c r="L7" s="23">
        <v>20</v>
      </c>
      <c r="M7" s="23">
        <f>SUM(L7:L10)</f>
        <v>32</v>
      </c>
      <c r="N7" s="11">
        <f>M7*0.15</f>
        <v>4.8</v>
      </c>
      <c r="O7" s="11">
        <f>N7+M7</f>
        <v>36.799999999999997</v>
      </c>
      <c r="P7" s="94" t="s">
        <v>57</v>
      </c>
    </row>
    <row r="8" spans="1:16" ht="12.75" customHeight="1" x14ac:dyDescent="0.25">
      <c r="A8" s="5"/>
      <c r="B8" s="5"/>
      <c r="C8" s="6"/>
      <c r="D8" s="5"/>
      <c r="E8" s="5"/>
      <c r="F8" s="5"/>
      <c r="G8" s="5">
        <v>1</v>
      </c>
      <c r="H8" s="5" t="s">
        <v>17</v>
      </c>
      <c r="I8" s="5" t="s">
        <v>18</v>
      </c>
      <c r="J8" s="5" t="s">
        <v>43</v>
      </c>
      <c r="K8" s="40"/>
      <c r="L8" s="23">
        <v>4</v>
      </c>
      <c r="M8" s="23"/>
      <c r="N8" s="11"/>
      <c r="O8" s="11"/>
      <c r="P8" s="94"/>
    </row>
    <row r="9" spans="1:16" ht="12.75" customHeight="1" x14ac:dyDescent="0.25">
      <c r="A9" s="5"/>
      <c r="B9" s="5"/>
      <c r="C9" s="6"/>
      <c r="D9" s="5"/>
      <c r="E9" s="5"/>
      <c r="F9" s="5"/>
      <c r="G9" s="5">
        <v>1</v>
      </c>
      <c r="H9" s="5" t="s">
        <v>17</v>
      </c>
      <c r="I9" s="5" t="s">
        <v>25</v>
      </c>
      <c r="J9" s="5" t="s">
        <v>43</v>
      </c>
      <c r="K9" s="40"/>
      <c r="L9" s="23">
        <v>4</v>
      </c>
      <c r="M9" s="23"/>
      <c r="N9" s="11"/>
      <c r="O9" s="11"/>
      <c r="P9" s="94"/>
    </row>
    <row r="10" spans="1:16" ht="12.75" customHeight="1" x14ac:dyDescent="0.25">
      <c r="A10" s="5"/>
      <c r="B10" s="5"/>
      <c r="C10" s="6"/>
      <c r="D10" s="5"/>
      <c r="E10" s="5"/>
      <c r="F10" s="5"/>
      <c r="G10" s="5">
        <v>1</v>
      </c>
      <c r="H10" s="5" t="s">
        <v>17</v>
      </c>
      <c r="I10" s="5" t="s">
        <v>25</v>
      </c>
      <c r="J10" s="5" t="s">
        <v>43</v>
      </c>
      <c r="K10" s="40"/>
      <c r="L10" s="23">
        <v>4</v>
      </c>
      <c r="M10" s="23"/>
      <c r="N10" s="11"/>
      <c r="O10" s="11"/>
      <c r="P10" s="94"/>
    </row>
    <row r="11" spans="1:16" ht="12.75" customHeight="1" x14ac:dyDescent="0.25">
      <c r="A11" s="5" t="s">
        <v>15</v>
      </c>
      <c r="B11" s="5" t="s">
        <v>16</v>
      </c>
      <c r="C11" s="6" t="s">
        <v>58</v>
      </c>
      <c r="D11" s="5" t="s">
        <v>59</v>
      </c>
      <c r="E11" s="5" t="s">
        <v>60</v>
      </c>
      <c r="F11" s="5"/>
      <c r="G11" s="5">
        <v>1</v>
      </c>
      <c r="H11" s="5" t="s">
        <v>14</v>
      </c>
      <c r="I11" s="5" t="s">
        <v>24</v>
      </c>
      <c r="J11" s="5" t="s">
        <v>43</v>
      </c>
      <c r="K11" s="40"/>
      <c r="L11" s="23">
        <v>20</v>
      </c>
      <c r="M11" s="23">
        <f>SUM(L11:L16)</f>
        <v>76</v>
      </c>
      <c r="N11" s="11">
        <f>M11*0.15</f>
        <v>11.4</v>
      </c>
      <c r="O11" s="11">
        <f>N11+M11</f>
        <v>87.4</v>
      </c>
      <c r="P11" s="94" t="s">
        <v>62</v>
      </c>
    </row>
    <row r="12" spans="1:16" ht="12.75" customHeight="1" x14ac:dyDescent="0.25">
      <c r="A12" s="5"/>
      <c r="B12" s="5"/>
      <c r="C12" s="6"/>
      <c r="D12" s="5"/>
      <c r="E12" s="5"/>
      <c r="F12" s="5"/>
      <c r="G12" s="5">
        <v>1</v>
      </c>
      <c r="H12" s="5" t="s">
        <v>17</v>
      </c>
      <c r="I12" s="5" t="s">
        <v>18</v>
      </c>
      <c r="J12" s="5" t="s">
        <v>43</v>
      </c>
      <c r="K12" s="40"/>
      <c r="L12" s="23">
        <v>4</v>
      </c>
      <c r="M12" s="23"/>
      <c r="N12" s="11"/>
      <c r="O12" s="11"/>
      <c r="P12" s="94"/>
    </row>
    <row r="13" spans="1:16" ht="12.75" customHeight="1" x14ac:dyDescent="0.25">
      <c r="A13" s="5"/>
      <c r="B13" s="5"/>
      <c r="C13" s="6"/>
      <c r="D13" s="5"/>
      <c r="E13" s="5"/>
      <c r="F13" s="5"/>
      <c r="G13" s="5">
        <v>1</v>
      </c>
      <c r="H13" s="5" t="s">
        <v>17</v>
      </c>
      <c r="I13" s="5" t="s">
        <v>18</v>
      </c>
      <c r="J13" s="5" t="s">
        <v>43</v>
      </c>
      <c r="K13" s="40"/>
      <c r="L13" s="23">
        <v>4</v>
      </c>
      <c r="M13" s="23"/>
      <c r="N13" s="11"/>
      <c r="O13" s="11"/>
      <c r="P13" s="94"/>
    </row>
    <row r="14" spans="1:16" ht="12.75" customHeight="1" x14ac:dyDescent="0.25">
      <c r="A14" s="5"/>
      <c r="B14" s="5"/>
      <c r="C14" s="6"/>
      <c r="D14" s="5"/>
      <c r="E14" s="5"/>
      <c r="F14" s="5"/>
      <c r="G14" s="5">
        <v>1</v>
      </c>
      <c r="H14" s="5" t="s">
        <v>17</v>
      </c>
      <c r="I14" s="5" t="s">
        <v>25</v>
      </c>
      <c r="J14" s="5" t="s">
        <v>43</v>
      </c>
      <c r="K14" s="40"/>
      <c r="L14" s="23">
        <v>2</v>
      </c>
      <c r="M14" s="23"/>
      <c r="N14" s="11"/>
      <c r="O14" s="11"/>
      <c r="P14" s="94"/>
    </row>
    <row r="15" spans="1:16" ht="12.75" customHeight="1" x14ac:dyDescent="0.25">
      <c r="A15" s="5"/>
      <c r="B15" s="5"/>
      <c r="C15" s="6"/>
      <c r="D15" s="5"/>
      <c r="E15" s="5"/>
      <c r="F15" s="5"/>
      <c r="G15" s="5">
        <v>1</v>
      </c>
      <c r="H15" s="5" t="s">
        <v>17</v>
      </c>
      <c r="I15" s="5" t="s">
        <v>25</v>
      </c>
      <c r="J15" s="5" t="s">
        <v>43</v>
      </c>
      <c r="K15" s="40"/>
      <c r="L15" s="23">
        <v>2</v>
      </c>
      <c r="M15" s="23"/>
      <c r="N15" s="11"/>
      <c r="O15" s="11"/>
      <c r="P15" s="94"/>
    </row>
    <row r="16" spans="1:16" ht="12.75" customHeight="1" x14ac:dyDescent="0.25">
      <c r="A16" s="5"/>
      <c r="B16" s="5"/>
      <c r="C16" s="6"/>
      <c r="D16" s="5"/>
      <c r="E16" s="5"/>
      <c r="F16" s="5" t="s">
        <v>61</v>
      </c>
      <c r="G16" s="5" t="s">
        <v>22</v>
      </c>
      <c r="H16" s="5" t="s">
        <v>22</v>
      </c>
      <c r="I16" s="5" t="s">
        <v>22</v>
      </c>
      <c r="J16" s="5" t="s">
        <v>22</v>
      </c>
      <c r="K16" s="40"/>
      <c r="L16" s="23">
        <v>44</v>
      </c>
      <c r="M16" s="23"/>
      <c r="N16" s="11"/>
      <c r="O16" s="11"/>
      <c r="P16" s="94"/>
    </row>
    <row r="17" spans="1:16" ht="12.75" customHeight="1" thickBot="1" x14ac:dyDescent="0.3">
      <c r="A17" s="10"/>
      <c r="B17" s="10"/>
      <c r="C17" s="12"/>
      <c r="D17" s="10"/>
      <c r="E17" s="10"/>
      <c r="F17" s="10"/>
      <c r="G17" s="24">
        <v>46228</v>
      </c>
      <c r="H17" s="19"/>
      <c r="I17" s="140" t="s">
        <v>133</v>
      </c>
      <c r="J17" s="146"/>
      <c r="K17" s="141"/>
      <c r="L17" s="21" t="s">
        <v>27</v>
      </c>
      <c r="M17" s="22">
        <f>SUM(M3:M16)</f>
        <v>144</v>
      </c>
      <c r="N17" s="22">
        <f>SUM(N3:N16)</f>
        <v>21.6</v>
      </c>
      <c r="O17" s="22">
        <f>SUM(O3:O16)</f>
        <v>165.6</v>
      </c>
      <c r="P17" s="17"/>
    </row>
    <row r="18" spans="1:16" ht="12.75" customHeight="1" x14ac:dyDescent="0.25">
      <c r="A18" s="10"/>
      <c r="B18" s="10"/>
      <c r="C18" s="12"/>
      <c r="D18" s="10"/>
      <c r="E18" s="10"/>
      <c r="F18" s="10"/>
      <c r="G18" s="25"/>
      <c r="H18" s="19"/>
      <c r="I18" s="26"/>
      <c r="J18" s="26"/>
      <c r="K18" s="27"/>
      <c r="L18" s="27"/>
      <c r="M18" s="15"/>
      <c r="N18" s="15"/>
      <c r="O18" s="15"/>
      <c r="P18" s="17"/>
    </row>
    <row r="19" spans="1:16" ht="12.75" customHeight="1" x14ac:dyDescent="0.25">
      <c r="K19" s="2"/>
    </row>
    <row r="20" spans="1:16" ht="12.75" customHeight="1" x14ac:dyDescent="0.25">
      <c r="K20" s="2"/>
    </row>
    <row r="21" spans="1:16" ht="12.75" customHeight="1" x14ac:dyDescent="0.25">
      <c r="A21" s="105" t="s">
        <v>114</v>
      </c>
      <c r="B21" s="105" t="s">
        <v>41</v>
      </c>
      <c r="C21" s="106" t="s">
        <v>130</v>
      </c>
      <c r="D21" s="105" t="s">
        <v>23</v>
      </c>
      <c r="E21" s="105" t="s">
        <v>131</v>
      </c>
      <c r="F21" s="105" t="s">
        <v>22</v>
      </c>
      <c r="G21" s="105">
        <v>1</v>
      </c>
      <c r="H21" s="107" t="s">
        <v>14</v>
      </c>
      <c r="I21" s="107" t="s">
        <v>24</v>
      </c>
      <c r="J21" s="108" t="s">
        <v>43</v>
      </c>
      <c r="K21" s="108"/>
      <c r="L21" s="109">
        <v>20</v>
      </c>
      <c r="M21" s="109">
        <f>SUM(L21:L24)</f>
        <v>32</v>
      </c>
      <c r="N21" s="110">
        <f>M21*0.15</f>
        <v>4.8</v>
      </c>
      <c r="O21" s="110">
        <f t="shared" ref="O21" si="0">N21+M21</f>
        <v>36.799999999999997</v>
      </c>
      <c r="P21" s="116" t="s">
        <v>48</v>
      </c>
    </row>
    <row r="22" spans="1:16" ht="12.75" customHeight="1" x14ac:dyDescent="0.25">
      <c r="A22" s="105"/>
      <c r="B22" s="105"/>
      <c r="C22" s="106"/>
      <c r="D22" s="105"/>
      <c r="E22" s="105"/>
      <c r="F22" s="105" t="s">
        <v>22</v>
      </c>
      <c r="G22" s="105">
        <v>1</v>
      </c>
      <c r="H22" s="107" t="s">
        <v>14</v>
      </c>
      <c r="I22" s="107" t="s">
        <v>25</v>
      </c>
      <c r="J22" s="108" t="s">
        <v>43</v>
      </c>
      <c r="K22" s="108"/>
      <c r="L22" s="109">
        <v>2</v>
      </c>
      <c r="M22" s="109"/>
      <c r="N22" s="110"/>
      <c r="O22" s="110"/>
      <c r="P22" s="116"/>
    </row>
    <row r="23" spans="1:16" ht="12.75" customHeight="1" x14ac:dyDescent="0.25">
      <c r="A23" s="105"/>
      <c r="B23" s="105"/>
      <c r="C23" s="106"/>
      <c r="D23" s="105"/>
      <c r="E23" s="105"/>
      <c r="F23" s="105" t="s">
        <v>22</v>
      </c>
      <c r="G23" s="105">
        <v>1</v>
      </c>
      <c r="H23" s="107" t="s">
        <v>14</v>
      </c>
      <c r="I23" s="107" t="s">
        <v>25</v>
      </c>
      <c r="J23" s="108" t="s">
        <v>43</v>
      </c>
      <c r="K23" s="108"/>
      <c r="L23" s="109">
        <v>2</v>
      </c>
      <c r="M23" s="109"/>
      <c r="N23" s="110"/>
      <c r="O23" s="110"/>
      <c r="P23" s="116"/>
    </row>
    <row r="24" spans="1:16" ht="12.75" customHeight="1" x14ac:dyDescent="0.25">
      <c r="A24" s="105"/>
      <c r="B24" s="105"/>
      <c r="C24" s="106"/>
      <c r="D24" s="105"/>
      <c r="E24" s="105"/>
      <c r="F24" s="105" t="s">
        <v>22</v>
      </c>
      <c r="G24" s="105">
        <v>1</v>
      </c>
      <c r="H24" s="107" t="s">
        <v>36</v>
      </c>
      <c r="I24" s="107" t="s">
        <v>35</v>
      </c>
      <c r="J24" s="108" t="s">
        <v>43</v>
      </c>
      <c r="K24" s="108"/>
      <c r="L24" s="109">
        <v>8</v>
      </c>
      <c r="M24" s="109"/>
      <c r="N24" s="110"/>
      <c r="O24" s="110"/>
      <c r="P24" s="116"/>
    </row>
    <row r="25" spans="1:16" ht="12.75" customHeight="1" thickBot="1" x14ac:dyDescent="0.3">
      <c r="A25" s="1"/>
      <c r="B25" s="10"/>
      <c r="C25" s="12"/>
      <c r="D25" s="10"/>
      <c r="E25" s="10"/>
      <c r="F25" s="10"/>
      <c r="G25" s="24">
        <v>46228</v>
      </c>
      <c r="H25" s="19"/>
      <c r="I25" s="147" t="s">
        <v>134</v>
      </c>
      <c r="J25" s="148"/>
      <c r="K25" s="149"/>
      <c r="L25" s="21" t="s">
        <v>27</v>
      </c>
      <c r="M25" s="22">
        <f>SUM(M21:M24)</f>
        <v>32</v>
      </c>
      <c r="N25" s="22">
        <f>SUM(N21:N24)</f>
        <v>4.8</v>
      </c>
      <c r="O25" s="22">
        <f>SUM(O21:O24)</f>
        <v>36.799999999999997</v>
      </c>
      <c r="P25" s="1"/>
    </row>
    <row r="26" spans="1:16" x14ac:dyDescent="0.25">
      <c r="K26" s="2"/>
    </row>
    <row r="27" spans="1:16" ht="12.75" x14ac:dyDescent="0.25">
      <c r="A27" s="42" t="s">
        <v>37</v>
      </c>
      <c r="B27" s="42" t="s">
        <v>38</v>
      </c>
      <c r="C27" s="43" t="s">
        <v>117</v>
      </c>
      <c r="D27" s="42" t="s">
        <v>118</v>
      </c>
      <c r="E27" s="42" t="s">
        <v>119</v>
      </c>
      <c r="F27" s="42" t="s">
        <v>22</v>
      </c>
      <c r="G27" s="42">
        <v>1</v>
      </c>
      <c r="H27" s="44" t="s">
        <v>17</v>
      </c>
      <c r="I27" s="44" t="s">
        <v>18</v>
      </c>
      <c r="J27" s="45" t="s">
        <v>43</v>
      </c>
      <c r="K27" s="45"/>
      <c r="L27" s="46">
        <v>4</v>
      </c>
      <c r="M27" s="46">
        <f>SUM(L27:L28)</f>
        <v>8</v>
      </c>
      <c r="N27" s="47">
        <f>M27*0.15</f>
        <v>1.2</v>
      </c>
      <c r="O27" s="47">
        <f t="shared" ref="O27" si="1">N27+M27</f>
        <v>9.1999999999999993</v>
      </c>
      <c r="P27" s="48" t="s">
        <v>120</v>
      </c>
    </row>
    <row r="28" spans="1:16" ht="12.75" x14ac:dyDescent="0.25">
      <c r="A28" s="42"/>
      <c r="B28" s="42"/>
      <c r="C28" s="43"/>
      <c r="D28" s="42"/>
      <c r="E28" s="42"/>
      <c r="F28" s="42"/>
      <c r="G28" s="42">
        <v>1</v>
      </c>
      <c r="H28" s="44" t="s">
        <v>17</v>
      </c>
      <c r="I28" s="44" t="s">
        <v>18</v>
      </c>
      <c r="J28" s="45" t="s">
        <v>43</v>
      </c>
      <c r="K28" s="45"/>
      <c r="L28" s="46">
        <v>4</v>
      </c>
      <c r="M28" s="46"/>
      <c r="N28" s="47"/>
      <c r="O28" s="47"/>
      <c r="P28" s="48"/>
    </row>
    <row r="29" spans="1:16" ht="12.75" x14ac:dyDescent="0.25">
      <c r="A29" s="42" t="s">
        <v>37</v>
      </c>
      <c r="B29" s="42" t="s">
        <v>38</v>
      </c>
      <c r="C29" s="43" t="s">
        <v>115</v>
      </c>
      <c r="D29" s="42" t="s">
        <v>44</v>
      </c>
      <c r="E29" s="42" t="s">
        <v>116</v>
      </c>
      <c r="F29" s="42" t="s">
        <v>22</v>
      </c>
      <c r="G29" s="42">
        <v>1</v>
      </c>
      <c r="H29" s="44" t="s">
        <v>17</v>
      </c>
      <c r="I29" s="44" t="s">
        <v>18</v>
      </c>
      <c r="J29" s="45" t="s">
        <v>43</v>
      </c>
      <c r="K29" s="45"/>
      <c r="L29" s="46">
        <v>4</v>
      </c>
      <c r="M29" s="46">
        <f>SUM(L29:L31)</f>
        <v>4</v>
      </c>
      <c r="N29" s="47">
        <f>M29*0.15</f>
        <v>0.6</v>
      </c>
      <c r="O29" s="47">
        <f t="shared" ref="O29" si="2">N29+M29</f>
        <v>4.5999999999999996</v>
      </c>
      <c r="P29" s="48" t="s">
        <v>121</v>
      </c>
    </row>
    <row r="30" spans="1:16" ht="24" thickBot="1" x14ac:dyDescent="0.3">
      <c r="A30" s="1"/>
      <c r="B30" s="10"/>
      <c r="C30" s="12"/>
      <c r="D30" s="10"/>
      <c r="E30" s="10"/>
      <c r="F30" s="10"/>
      <c r="G30" s="24">
        <v>46228</v>
      </c>
      <c r="H30" s="19"/>
      <c r="I30" s="142" t="s">
        <v>135</v>
      </c>
      <c r="J30" s="143"/>
      <c r="K30" s="144"/>
      <c r="L30" s="21" t="s">
        <v>27</v>
      </c>
      <c r="M30" s="22">
        <f>SUM(M27:M29)</f>
        <v>12</v>
      </c>
      <c r="N30" s="22">
        <f>SUM(N27:N29)</f>
        <v>1.7999999999999998</v>
      </c>
      <c r="O30" s="22">
        <f>SUM(O27:O29)</f>
        <v>13.799999999999999</v>
      </c>
      <c r="P30" s="1"/>
    </row>
    <row r="31" spans="1:16" x14ac:dyDescent="0.25">
      <c r="K31" s="2"/>
    </row>
    <row r="32" spans="1:16" x14ac:dyDescent="0.25">
      <c r="K32" s="2"/>
    </row>
    <row r="33" spans="11:11" x14ac:dyDescent="0.25">
      <c r="K33" s="2"/>
    </row>
    <row r="34" spans="11:11" x14ac:dyDescent="0.25">
      <c r="K34" s="2"/>
    </row>
    <row r="35" spans="11:11" x14ac:dyDescent="0.25">
      <c r="K35" s="2"/>
    </row>
    <row r="36" spans="11:11" x14ac:dyDescent="0.25">
      <c r="K36" s="2"/>
    </row>
    <row r="37" spans="11:11" x14ac:dyDescent="0.25">
      <c r="K37" s="2"/>
    </row>
    <row r="38" spans="11:11" x14ac:dyDescent="0.25">
      <c r="K38" s="2"/>
    </row>
    <row r="39" spans="11:11" x14ac:dyDescent="0.25">
      <c r="K39" s="2"/>
    </row>
  </sheetData>
  <mergeCells count="6">
    <mergeCell ref="I30:K30"/>
    <mergeCell ref="A1:E1"/>
    <mergeCell ref="F1:K1"/>
    <mergeCell ref="L1:P1"/>
    <mergeCell ref="I17:K17"/>
    <mergeCell ref="I25:K25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5"/>
  <sheetViews>
    <sheetView zoomScale="70" zoomScaleNormal="70" workbookViewId="0">
      <selection activeCell="J16" sqref="J16"/>
    </sheetView>
  </sheetViews>
  <sheetFormatPr baseColWidth="10" defaultColWidth="11.42578125" defaultRowHeight="18" customHeight="1" x14ac:dyDescent="0.25"/>
  <cols>
    <col min="1" max="1" width="23" style="1" bestFit="1" customWidth="1"/>
    <col min="2" max="2" width="12.85546875" style="1" bestFit="1" customWidth="1"/>
    <col min="3" max="3" width="21.140625" style="1" bestFit="1" customWidth="1"/>
    <col min="4" max="4" width="15" style="1" customWidth="1"/>
    <col min="5" max="5" width="13.42578125" style="1" customWidth="1"/>
    <col min="6" max="6" width="43.140625" style="1" bestFit="1" customWidth="1"/>
    <col min="7" max="7" width="13.140625" style="1" bestFit="1" customWidth="1"/>
    <col min="8" max="8" width="5.28515625" style="1" customWidth="1"/>
    <col min="9" max="9" width="13" style="1" bestFit="1" customWidth="1"/>
    <col min="10" max="10" width="22.42578125" style="1" bestFit="1" customWidth="1"/>
    <col min="11" max="11" width="11.7109375" style="8" bestFit="1" customWidth="1"/>
    <col min="12" max="12" width="11" style="8" bestFit="1" customWidth="1"/>
    <col min="13" max="13" width="8.42578125" style="8" customWidth="1"/>
    <col min="14" max="14" width="10.140625" style="8" bestFit="1" customWidth="1"/>
    <col min="15" max="15" width="12.5703125" style="8" bestFit="1" customWidth="1"/>
    <col min="16" max="16" width="58" style="8" bestFit="1" customWidth="1"/>
    <col min="17" max="17" width="24.7109375" style="1" customWidth="1"/>
    <col min="18" max="18" width="23.7109375" style="1" bestFit="1" customWidth="1"/>
    <col min="19" max="16384" width="11.42578125" style="1"/>
  </cols>
  <sheetData>
    <row r="1" spans="1:16" ht="20.100000000000001" customHeight="1" thickBot="1" x14ac:dyDescent="0.3">
      <c r="A1" s="132" t="s">
        <v>11</v>
      </c>
      <c r="B1" s="133"/>
      <c r="C1" s="133"/>
      <c r="D1" s="133"/>
      <c r="E1" s="134"/>
      <c r="F1" s="135" t="s">
        <v>12</v>
      </c>
      <c r="G1" s="136"/>
      <c r="H1" s="136"/>
      <c r="I1" s="136"/>
      <c r="J1" s="137"/>
      <c r="K1" s="138" t="s">
        <v>13</v>
      </c>
      <c r="L1" s="139"/>
      <c r="M1" s="139"/>
      <c r="N1" s="139"/>
      <c r="O1" s="139"/>
      <c r="P1" s="130" t="s">
        <v>29</v>
      </c>
    </row>
    <row r="2" spans="1:16" ht="39" customHeight="1" x14ac:dyDescent="0.25">
      <c r="A2" s="28" t="s">
        <v>0</v>
      </c>
      <c r="B2" s="29" t="s">
        <v>1</v>
      </c>
      <c r="C2" s="29" t="s">
        <v>2</v>
      </c>
      <c r="D2" s="29" t="s">
        <v>3</v>
      </c>
      <c r="E2" s="30" t="s">
        <v>32</v>
      </c>
      <c r="F2" s="31" t="s">
        <v>21</v>
      </c>
      <c r="G2" s="41" t="s">
        <v>33</v>
      </c>
      <c r="H2" s="32" t="s">
        <v>6</v>
      </c>
      <c r="I2" s="32" t="s">
        <v>7</v>
      </c>
      <c r="J2" s="34" t="s">
        <v>19</v>
      </c>
      <c r="K2" s="35" t="s">
        <v>26</v>
      </c>
      <c r="L2" s="36" t="s">
        <v>8</v>
      </c>
      <c r="M2" s="37" t="s">
        <v>9</v>
      </c>
      <c r="N2" s="38" t="s">
        <v>10</v>
      </c>
      <c r="O2" s="39" t="s">
        <v>20</v>
      </c>
      <c r="P2" s="131"/>
    </row>
    <row r="3" spans="1:16" ht="12.75" customHeight="1" x14ac:dyDescent="0.25">
      <c r="A3" s="5" t="s">
        <v>34</v>
      </c>
      <c r="B3" s="5" t="s">
        <v>16</v>
      </c>
      <c r="C3" s="6" t="s">
        <v>63</v>
      </c>
      <c r="D3" s="5" t="s">
        <v>23</v>
      </c>
      <c r="E3" s="5" t="s">
        <v>64</v>
      </c>
      <c r="F3" s="5" t="s">
        <v>31</v>
      </c>
      <c r="G3" s="5" t="s">
        <v>22</v>
      </c>
      <c r="H3" s="5" t="s">
        <v>22</v>
      </c>
      <c r="I3" s="5" t="s">
        <v>22</v>
      </c>
      <c r="J3" s="52"/>
      <c r="K3" s="55">
        <v>32.799999999999997</v>
      </c>
      <c r="L3" s="56">
        <f t="shared" ref="L3" si="0">SUM(K3)</f>
        <v>32.799999999999997</v>
      </c>
      <c r="M3" s="57">
        <f t="shared" ref="M3" si="1">L3*0.15</f>
        <v>4.919999999999999</v>
      </c>
      <c r="N3" s="57">
        <f t="shared" ref="N3" si="2">M3+L3</f>
        <v>37.72</v>
      </c>
      <c r="O3" s="58" t="s">
        <v>65</v>
      </c>
      <c r="P3" s="95" t="s">
        <v>30</v>
      </c>
    </row>
    <row r="4" spans="1:16" ht="12.75" customHeight="1" x14ac:dyDescent="0.25">
      <c r="A4" s="5" t="s">
        <v>34</v>
      </c>
      <c r="B4" s="5" t="s">
        <v>16</v>
      </c>
      <c r="C4" s="6" t="s">
        <v>66</v>
      </c>
      <c r="D4" s="5" t="s">
        <v>23</v>
      </c>
      <c r="E4" s="5" t="s">
        <v>67</v>
      </c>
      <c r="F4" s="5" t="s">
        <v>68</v>
      </c>
      <c r="G4" s="5" t="s">
        <v>22</v>
      </c>
      <c r="H4" s="5" t="s">
        <v>22</v>
      </c>
      <c r="I4" s="5" t="s">
        <v>22</v>
      </c>
      <c r="J4" s="52"/>
      <c r="K4" s="55">
        <v>24.9</v>
      </c>
      <c r="L4" s="56">
        <f t="shared" ref="L4" si="3">SUM(K4)</f>
        <v>24.9</v>
      </c>
      <c r="M4" s="57">
        <f t="shared" ref="M4:M10" si="4">L4*0.15</f>
        <v>3.7349999999999994</v>
      </c>
      <c r="N4" s="57">
        <f t="shared" ref="N4" si="5">M4+L4</f>
        <v>28.634999999999998</v>
      </c>
      <c r="O4" s="58" t="s">
        <v>69</v>
      </c>
      <c r="P4" s="95" t="s">
        <v>30</v>
      </c>
    </row>
    <row r="5" spans="1:16" ht="12.75" customHeight="1" x14ac:dyDescent="0.25">
      <c r="A5" s="5" t="s">
        <v>34</v>
      </c>
      <c r="B5" s="5" t="s">
        <v>16</v>
      </c>
      <c r="C5" s="6" t="s">
        <v>49</v>
      </c>
      <c r="D5" s="5" t="s">
        <v>23</v>
      </c>
      <c r="E5" s="5" t="s">
        <v>50</v>
      </c>
      <c r="F5" s="5" t="s">
        <v>70</v>
      </c>
      <c r="G5" s="5" t="s">
        <v>22</v>
      </c>
      <c r="H5" s="5" t="s">
        <v>22</v>
      </c>
      <c r="I5" s="5" t="s">
        <v>22</v>
      </c>
      <c r="J5" s="52"/>
      <c r="K5" s="55">
        <v>54.2</v>
      </c>
      <c r="L5" s="56">
        <f t="shared" ref="L5:L9" si="6">SUM(K5)</f>
        <v>54.2</v>
      </c>
      <c r="M5" s="57">
        <f t="shared" si="4"/>
        <v>8.1300000000000008</v>
      </c>
      <c r="N5" s="57">
        <f t="shared" ref="N5:N9" si="7">M5+L5</f>
        <v>62.330000000000005</v>
      </c>
      <c r="O5" s="58" t="s">
        <v>71</v>
      </c>
      <c r="P5" s="95" t="s">
        <v>30</v>
      </c>
    </row>
    <row r="6" spans="1:16" ht="12.75" customHeight="1" x14ac:dyDescent="0.25">
      <c r="A6" s="5" t="s">
        <v>34</v>
      </c>
      <c r="B6" s="5" t="s">
        <v>16</v>
      </c>
      <c r="C6" s="6" t="s">
        <v>52</v>
      </c>
      <c r="D6" s="5" t="s">
        <v>23</v>
      </c>
      <c r="E6" s="5" t="s">
        <v>53</v>
      </c>
      <c r="F6" s="5" t="s">
        <v>51</v>
      </c>
      <c r="G6" s="5" t="s">
        <v>22</v>
      </c>
      <c r="H6" s="5" t="s">
        <v>22</v>
      </c>
      <c r="I6" s="5" t="s">
        <v>22</v>
      </c>
      <c r="J6" s="52"/>
      <c r="K6" s="55">
        <v>9.8000000000000007</v>
      </c>
      <c r="L6" s="56">
        <f t="shared" si="6"/>
        <v>9.8000000000000007</v>
      </c>
      <c r="M6" s="57">
        <f t="shared" si="4"/>
        <v>1.47</v>
      </c>
      <c r="N6" s="57">
        <f t="shared" si="7"/>
        <v>11.270000000000001</v>
      </c>
      <c r="O6" s="58" t="s">
        <v>72</v>
      </c>
      <c r="P6" s="95" t="s">
        <v>30</v>
      </c>
    </row>
    <row r="7" spans="1:16" ht="12.75" customHeight="1" x14ac:dyDescent="0.25">
      <c r="A7" s="5" t="s">
        <v>34</v>
      </c>
      <c r="B7" s="5" t="s">
        <v>16</v>
      </c>
      <c r="C7" s="6" t="s">
        <v>73</v>
      </c>
      <c r="D7" s="5" t="s">
        <v>23</v>
      </c>
      <c r="E7" s="5" t="s">
        <v>22</v>
      </c>
      <c r="F7" s="5" t="s">
        <v>74</v>
      </c>
      <c r="G7" s="5"/>
      <c r="H7" s="5"/>
      <c r="I7" s="5"/>
      <c r="J7" s="52"/>
      <c r="K7" s="55">
        <v>129.80000000000001</v>
      </c>
      <c r="L7" s="56">
        <f t="shared" si="6"/>
        <v>129.80000000000001</v>
      </c>
      <c r="M7" s="57">
        <f t="shared" si="4"/>
        <v>19.470000000000002</v>
      </c>
      <c r="N7" s="57">
        <f t="shared" si="7"/>
        <v>149.27000000000001</v>
      </c>
      <c r="O7" s="58" t="s">
        <v>75</v>
      </c>
      <c r="P7" s="95" t="s">
        <v>30</v>
      </c>
    </row>
    <row r="8" spans="1:16" ht="12.75" customHeight="1" x14ac:dyDescent="0.25">
      <c r="A8" s="5" t="s">
        <v>34</v>
      </c>
      <c r="B8" s="5" t="s">
        <v>16</v>
      </c>
      <c r="C8" s="6" t="s">
        <v>76</v>
      </c>
      <c r="D8" s="5" t="s">
        <v>23</v>
      </c>
      <c r="E8" s="5" t="s">
        <v>77</v>
      </c>
      <c r="F8" s="5" t="s">
        <v>51</v>
      </c>
      <c r="G8" s="5"/>
      <c r="H8" s="5"/>
      <c r="I8" s="5"/>
      <c r="J8" s="52"/>
      <c r="K8" s="55">
        <v>4.9000000000000004</v>
      </c>
      <c r="L8" s="56">
        <f t="shared" si="6"/>
        <v>4.9000000000000004</v>
      </c>
      <c r="M8" s="57">
        <f t="shared" si="4"/>
        <v>0.73499999999999999</v>
      </c>
      <c r="N8" s="57">
        <f t="shared" si="7"/>
        <v>5.6350000000000007</v>
      </c>
      <c r="O8" s="58" t="s">
        <v>78</v>
      </c>
      <c r="P8" s="95" t="s">
        <v>30</v>
      </c>
    </row>
    <row r="9" spans="1:16" ht="12.75" customHeight="1" x14ac:dyDescent="0.25">
      <c r="A9" s="5" t="s">
        <v>34</v>
      </c>
      <c r="B9" s="5" t="s">
        <v>47</v>
      </c>
      <c r="C9" s="6" t="s">
        <v>55</v>
      </c>
      <c r="D9" s="5" t="s">
        <v>23</v>
      </c>
      <c r="E9" s="5" t="s">
        <v>56</v>
      </c>
      <c r="F9" s="5" t="s">
        <v>31</v>
      </c>
      <c r="G9" s="5"/>
      <c r="H9" s="5"/>
      <c r="I9" s="5"/>
      <c r="J9" s="52"/>
      <c r="K9" s="55">
        <v>32.799999999999997</v>
      </c>
      <c r="L9" s="56">
        <f t="shared" si="6"/>
        <v>32.799999999999997</v>
      </c>
      <c r="M9" s="57">
        <f t="shared" si="4"/>
        <v>4.919999999999999</v>
      </c>
      <c r="N9" s="57">
        <f t="shared" si="7"/>
        <v>37.72</v>
      </c>
      <c r="O9" s="58" t="s">
        <v>79</v>
      </c>
      <c r="P9" s="95" t="s">
        <v>30</v>
      </c>
    </row>
    <row r="10" spans="1:16" ht="12.75" customHeight="1" x14ac:dyDescent="0.25">
      <c r="A10" s="5" t="s">
        <v>34</v>
      </c>
      <c r="B10" s="5" t="s">
        <v>16</v>
      </c>
      <c r="C10" s="6" t="s">
        <v>80</v>
      </c>
      <c r="D10" s="5" t="s">
        <v>46</v>
      </c>
      <c r="E10" s="5" t="s">
        <v>81</v>
      </c>
      <c r="F10" s="5" t="s">
        <v>82</v>
      </c>
      <c r="G10" s="5" t="s">
        <v>22</v>
      </c>
      <c r="H10" s="5" t="s">
        <v>22</v>
      </c>
      <c r="I10" s="5" t="s">
        <v>22</v>
      </c>
      <c r="J10" s="52"/>
      <c r="K10" s="55">
        <v>148.03</v>
      </c>
      <c r="L10" s="56">
        <f t="shared" ref="L10" si="8">SUM(K10)</f>
        <v>148.03</v>
      </c>
      <c r="M10" s="57">
        <f t="shared" si="4"/>
        <v>22.204499999999999</v>
      </c>
      <c r="N10" s="57">
        <f t="shared" ref="N10" si="9">M10+L10</f>
        <v>170.2345</v>
      </c>
      <c r="O10" s="58" t="s">
        <v>83</v>
      </c>
      <c r="P10" s="95" t="s">
        <v>30</v>
      </c>
    </row>
    <row r="11" spans="1:16" ht="12.75" customHeight="1" x14ac:dyDescent="0.25">
      <c r="A11" s="5" t="s">
        <v>34</v>
      </c>
      <c r="B11" s="5" t="s">
        <v>16</v>
      </c>
      <c r="C11" s="6" t="s">
        <v>76</v>
      </c>
      <c r="D11" s="5" t="s">
        <v>23</v>
      </c>
      <c r="E11" s="5" t="s">
        <v>77</v>
      </c>
      <c r="F11" s="5" t="s">
        <v>84</v>
      </c>
      <c r="G11" s="5"/>
      <c r="H11" s="5"/>
      <c r="I11" s="5"/>
      <c r="J11" s="52"/>
      <c r="K11" s="55">
        <v>33.799999999999997</v>
      </c>
      <c r="L11" s="56">
        <f t="shared" ref="L11" si="10">SUM(K11)</f>
        <v>33.799999999999997</v>
      </c>
      <c r="M11" s="57">
        <f t="shared" ref="M11" si="11">L11*0.15</f>
        <v>5.0699999999999994</v>
      </c>
      <c r="N11" s="57">
        <f t="shared" ref="N11" si="12">M11+L11</f>
        <v>38.869999999999997</v>
      </c>
      <c r="O11" s="58" t="s">
        <v>85</v>
      </c>
      <c r="P11" s="95" t="s">
        <v>30</v>
      </c>
    </row>
    <row r="12" spans="1:16" ht="12.75" customHeight="1" thickBot="1" x14ac:dyDescent="0.3">
      <c r="A12" s="10"/>
      <c r="B12" s="10"/>
      <c r="C12" s="12"/>
      <c r="D12" s="10"/>
      <c r="E12" s="10"/>
      <c r="F12" s="10"/>
      <c r="G12" s="24">
        <v>46228</v>
      </c>
      <c r="H12" s="19"/>
      <c r="I12" s="140" t="s">
        <v>136</v>
      </c>
      <c r="J12" s="141"/>
      <c r="K12" s="21" t="s">
        <v>27</v>
      </c>
      <c r="L12" s="22">
        <f>SUM(L3:L11)</f>
        <v>471.03000000000003</v>
      </c>
      <c r="M12" s="22">
        <f>SUM(M3:M11)</f>
        <v>70.654499999999985</v>
      </c>
      <c r="N12" s="22">
        <f>SUM(N3:N11)</f>
        <v>541.68450000000007</v>
      </c>
      <c r="O12" s="17"/>
      <c r="P12" s="1"/>
    </row>
    <row r="13" spans="1:16" ht="12.75" customHeight="1" x14ac:dyDescent="0.25">
      <c r="A13" s="10"/>
      <c r="B13" s="10"/>
      <c r="C13" s="12"/>
      <c r="D13" s="10"/>
      <c r="E13" s="10"/>
      <c r="F13" s="10"/>
      <c r="G13" s="18"/>
      <c r="H13" s="19"/>
      <c r="I13" s="19"/>
      <c r="J13" s="20"/>
      <c r="K13" s="15"/>
      <c r="L13" s="15"/>
      <c r="M13" s="16"/>
      <c r="N13" s="16"/>
      <c r="O13" s="17"/>
      <c r="P13" s="1"/>
    </row>
    <row r="14" spans="1:16" ht="12.75" customHeight="1" x14ac:dyDescent="0.25">
      <c r="A14" s="10"/>
      <c r="B14" s="10"/>
      <c r="C14" s="12"/>
      <c r="D14" s="10"/>
      <c r="E14" s="10"/>
      <c r="F14" s="10"/>
      <c r="G14" s="10"/>
      <c r="H14" s="13"/>
      <c r="I14" s="13"/>
      <c r="J14" s="14"/>
      <c r="K14" s="15"/>
      <c r="L14" s="15"/>
      <c r="M14" s="16"/>
      <c r="N14" s="16"/>
      <c r="O14" s="17"/>
      <c r="P14" s="1"/>
    </row>
    <row r="15" spans="1:16" ht="12.75" customHeight="1" thickBot="1" x14ac:dyDescent="0.3">
      <c r="K15" s="1"/>
      <c r="L15" s="1"/>
      <c r="M15" s="1"/>
      <c r="N15" s="1"/>
      <c r="O15" s="1"/>
      <c r="P15" s="1"/>
    </row>
    <row r="16" spans="1:16" ht="12.75" customHeight="1" x14ac:dyDescent="0.25">
      <c r="A16" s="64" t="s">
        <v>39</v>
      </c>
      <c r="B16" s="65" t="s">
        <v>87</v>
      </c>
      <c r="C16" s="66" t="s">
        <v>45</v>
      </c>
      <c r="D16" s="65" t="s">
        <v>23</v>
      </c>
      <c r="E16" s="65" t="s">
        <v>88</v>
      </c>
      <c r="F16" s="65" t="s">
        <v>89</v>
      </c>
      <c r="G16" s="65" t="s">
        <v>22</v>
      </c>
      <c r="H16" s="65" t="s">
        <v>22</v>
      </c>
      <c r="I16" s="65" t="s">
        <v>22</v>
      </c>
      <c r="J16" s="67"/>
      <c r="K16" s="101">
        <v>10</v>
      </c>
      <c r="L16" s="102">
        <f t="shared" ref="L16" si="13">SUM(K16)</f>
        <v>10</v>
      </c>
      <c r="M16" s="103">
        <f t="shared" ref="M16:M19" si="14">L16*0.15</f>
        <v>1.5</v>
      </c>
      <c r="N16" s="103">
        <f t="shared" ref="N16" si="15">M16+L16</f>
        <v>11.5</v>
      </c>
      <c r="O16" s="104" t="s">
        <v>90</v>
      </c>
      <c r="P16" s="68" t="s">
        <v>30</v>
      </c>
    </row>
    <row r="17" spans="1:16" ht="12.75" customHeight="1" x14ac:dyDescent="0.25">
      <c r="A17" s="96" t="s">
        <v>39</v>
      </c>
      <c r="B17" s="97" t="s">
        <v>91</v>
      </c>
      <c r="C17" s="98" t="s">
        <v>92</v>
      </c>
      <c r="D17" s="97" t="s">
        <v>23</v>
      </c>
      <c r="E17" s="97" t="s">
        <v>93</v>
      </c>
      <c r="F17" s="97" t="s">
        <v>94</v>
      </c>
      <c r="G17" s="97"/>
      <c r="H17" s="97"/>
      <c r="I17" s="97"/>
      <c r="J17" s="99"/>
      <c r="K17" s="60">
        <v>108.52</v>
      </c>
      <c r="L17" s="61">
        <f t="shared" ref="L17" si="16">SUM(K17)</f>
        <v>108.52</v>
      </c>
      <c r="M17" s="62">
        <f t="shared" ref="M17" si="17">L17*0.15</f>
        <v>16.277999999999999</v>
      </c>
      <c r="N17" s="62">
        <f t="shared" ref="N17" si="18">M17+L17</f>
        <v>124.798</v>
      </c>
      <c r="O17" s="63" t="s">
        <v>95</v>
      </c>
      <c r="P17" s="100" t="s">
        <v>30</v>
      </c>
    </row>
    <row r="18" spans="1:16" ht="12.75" customHeight="1" x14ac:dyDescent="0.25">
      <c r="A18" s="69" t="s">
        <v>39</v>
      </c>
      <c r="B18" s="53" t="s">
        <v>96</v>
      </c>
      <c r="C18" s="59" t="s">
        <v>97</v>
      </c>
      <c r="D18" s="53" t="s">
        <v>44</v>
      </c>
      <c r="E18" s="53" t="s">
        <v>98</v>
      </c>
      <c r="F18" s="53" t="s">
        <v>89</v>
      </c>
      <c r="G18" s="53" t="s">
        <v>22</v>
      </c>
      <c r="H18" s="53" t="s">
        <v>22</v>
      </c>
      <c r="I18" s="53" t="s">
        <v>22</v>
      </c>
      <c r="J18" s="54"/>
      <c r="K18" s="60">
        <v>10</v>
      </c>
      <c r="L18" s="61">
        <f t="shared" ref="L18" si="19">SUM(K18)</f>
        <v>10</v>
      </c>
      <c r="M18" s="62">
        <f t="shared" si="14"/>
        <v>1.5</v>
      </c>
      <c r="N18" s="62">
        <f t="shared" ref="N18" si="20">M18+L18</f>
        <v>11.5</v>
      </c>
      <c r="O18" s="63" t="s">
        <v>99</v>
      </c>
      <c r="P18" s="70" t="s">
        <v>30</v>
      </c>
    </row>
    <row r="19" spans="1:16" ht="12.75" customHeight="1" x14ac:dyDescent="0.25">
      <c r="A19" s="69" t="s">
        <v>39</v>
      </c>
      <c r="B19" s="53" t="s">
        <v>87</v>
      </c>
      <c r="C19" s="59" t="s">
        <v>97</v>
      </c>
      <c r="D19" s="53" t="s">
        <v>44</v>
      </c>
      <c r="E19" s="53" t="s">
        <v>100</v>
      </c>
      <c r="F19" s="53" t="s">
        <v>101</v>
      </c>
      <c r="G19" s="53" t="s">
        <v>22</v>
      </c>
      <c r="H19" s="53" t="s">
        <v>22</v>
      </c>
      <c r="I19" s="53" t="s">
        <v>22</v>
      </c>
      <c r="J19" s="54"/>
      <c r="K19" s="60">
        <v>22.8</v>
      </c>
      <c r="L19" s="61">
        <f t="shared" ref="L19" si="21">SUM(K19)</f>
        <v>22.8</v>
      </c>
      <c r="M19" s="62">
        <f t="shared" si="14"/>
        <v>3.42</v>
      </c>
      <c r="N19" s="62">
        <f t="shared" ref="N19" si="22">M19+L19</f>
        <v>26.22</v>
      </c>
      <c r="O19" s="63" t="s">
        <v>102</v>
      </c>
      <c r="P19" s="70" t="s">
        <v>30</v>
      </c>
    </row>
    <row r="20" spans="1:16" ht="12.75" customHeight="1" thickBot="1" x14ac:dyDescent="0.3">
      <c r="A20" s="10"/>
      <c r="B20" s="10"/>
      <c r="C20" s="12"/>
      <c r="D20" s="10"/>
      <c r="E20" s="10"/>
      <c r="F20" s="10"/>
      <c r="G20" s="24">
        <v>46228</v>
      </c>
      <c r="H20" s="19"/>
      <c r="I20" s="126" t="s">
        <v>137</v>
      </c>
      <c r="J20" s="127"/>
      <c r="K20" s="21" t="s">
        <v>27</v>
      </c>
      <c r="L20" s="22">
        <f>SUM(L16:L19)</f>
        <v>151.32</v>
      </c>
      <c r="M20" s="22">
        <f>SUM(M16:M19)</f>
        <v>22.698</v>
      </c>
      <c r="N20" s="22">
        <f>SUM(N16:N19)</f>
        <v>174.018</v>
      </c>
      <c r="O20" s="17"/>
      <c r="P20" s="1"/>
    </row>
    <row r="21" spans="1:16" ht="12.75" customHeight="1" thickBot="1" x14ac:dyDescent="0.3">
      <c r="P21" s="1"/>
    </row>
    <row r="22" spans="1:16" ht="12.75" customHeight="1" x14ac:dyDescent="0.25">
      <c r="A22" s="71" t="s">
        <v>40</v>
      </c>
      <c r="B22" s="72" t="s">
        <v>103</v>
      </c>
      <c r="C22" s="73" t="s">
        <v>104</v>
      </c>
      <c r="D22" s="72" t="s">
        <v>44</v>
      </c>
      <c r="E22" s="72" t="s">
        <v>105</v>
      </c>
      <c r="F22" s="72" t="s">
        <v>106</v>
      </c>
      <c r="G22" s="72" t="s">
        <v>22</v>
      </c>
      <c r="H22" s="72" t="s">
        <v>22</v>
      </c>
      <c r="I22" s="72" t="s">
        <v>22</v>
      </c>
      <c r="J22" s="74"/>
      <c r="K22" s="75">
        <v>10</v>
      </c>
      <c r="L22" s="76">
        <f t="shared" ref="L22" si="23">SUM(K22)</f>
        <v>10</v>
      </c>
      <c r="M22" s="77">
        <f>L22*0.15</f>
        <v>1.5</v>
      </c>
      <c r="N22" s="77">
        <f t="shared" ref="N22" si="24">M22+L22</f>
        <v>11.5</v>
      </c>
      <c r="O22" s="78"/>
      <c r="P22" s="79" t="s">
        <v>42</v>
      </c>
    </row>
    <row r="23" spans="1:16" ht="12.75" customHeight="1" x14ac:dyDescent="0.25">
      <c r="A23" s="49" t="s">
        <v>40</v>
      </c>
      <c r="B23" s="49" t="s">
        <v>107</v>
      </c>
      <c r="C23" s="50" t="s">
        <v>108</v>
      </c>
      <c r="D23" s="49" t="s">
        <v>23</v>
      </c>
      <c r="E23" s="49" t="s">
        <v>109</v>
      </c>
      <c r="F23" s="49" t="s">
        <v>110</v>
      </c>
      <c r="G23" s="49" t="s">
        <v>22</v>
      </c>
      <c r="H23" s="49" t="s">
        <v>22</v>
      </c>
      <c r="I23" s="49" t="s">
        <v>22</v>
      </c>
      <c r="J23" s="89"/>
      <c r="K23" s="51">
        <v>15</v>
      </c>
      <c r="L23" s="90">
        <f t="shared" ref="L23:L24" si="25">SUM(K23)</f>
        <v>15</v>
      </c>
      <c r="M23" s="91">
        <f>L23*0.15</f>
        <v>2.25</v>
      </c>
      <c r="N23" s="91">
        <f t="shared" ref="N23:N24" si="26">M23+L23</f>
        <v>17.25</v>
      </c>
      <c r="O23" s="92"/>
      <c r="P23" s="93" t="s">
        <v>42</v>
      </c>
    </row>
    <row r="24" spans="1:16" ht="12.75" customHeight="1" thickBot="1" x14ac:dyDescent="0.3">
      <c r="A24" s="80" t="s">
        <v>40</v>
      </c>
      <c r="B24" s="81" t="s">
        <v>107</v>
      </c>
      <c r="C24" s="82" t="s">
        <v>111</v>
      </c>
      <c r="D24" s="81" t="s">
        <v>23</v>
      </c>
      <c r="E24" s="81" t="s">
        <v>112</v>
      </c>
      <c r="F24" s="81" t="s">
        <v>113</v>
      </c>
      <c r="G24" s="81" t="s">
        <v>22</v>
      </c>
      <c r="H24" s="81" t="s">
        <v>22</v>
      </c>
      <c r="I24" s="81" t="s">
        <v>22</v>
      </c>
      <c r="J24" s="83"/>
      <c r="K24" s="84">
        <v>9.8000000000000007</v>
      </c>
      <c r="L24" s="85">
        <f t="shared" si="25"/>
        <v>9.8000000000000007</v>
      </c>
      <c r="M24" s="86">
        <f>L24*0.15</f>
        <v>1.47</v>
      </c>
      <c r="N24" s="86">
        <f t="shared" si="26"/>
        <v>11.270000000000001</v>
      </c>
      <c r="O24" s="87"/>
      <c r="P24" s="88" t="s">
        <v>42</v>
      </c>
    </row>
    <row r="25" spans="1:16" ht="12.75" customHeight="1" thickBot="1" x14ac:dyDescent="0.3">
      <c r="A25" s="10"/>
      <c r="B25" s="10"/>
      <c r="C25" s="12"/>
      <c r="D25" s="10"/>
      <c r="E25" s="10"/>
      <c r="F25" s="10"/>
      <c r="G25" s="24">
        <v>46228</v>
      </c>
      <c r="H25" s="19"/>
      <c r="I25" s="128" t="s">
        <v>138</v>
      </c>
      <c r="J25" s="129"/>
      <c r="K25" s="21" t="s">
        <v>27</v>
      </c>
      <c r="L25" s="22">
        <f>SUM(L22:L24)</f>
        <v>34.799999999999997</v>
      </c>
      <c r="M25" s="22">
        <f>SUM(M22:M24)</f>
        <v>5.22</v>
      </c>
      <c r="N25" s="22">
        <f>SUM(N22:N24)</f>
        <v>40.020000000000003</v>
      </c>
      <c r="O25" s="17"/>
      <c r="P25" s="1"/>
    </row>
    <row r="26" spans="1:16" ht="12.75" customHeight="1" x14ac:dyDescent="0.25">
      <c r="F26" s="1" t="s">
        <v>86</v>
      </c>
      <c r="P26" s="1"/>
    </row>
    <row r="27" spans="1:16" ht="12.75" customHeight="1" x14ac:dyDescent="0.25">
      <c r="A27" s="42" t="s">
        <v>37</v>
      </c>
      <c r="B27" s="42" t="s">
        <v>38</v>
      </c>
      <c r="C27" s="43" t="s">
        <v>122</v>
      </c>
      <c r="D27" s="42" t="s">
        <v>123</v>
      </c>
      <c r="E27" s="42" t="s">
        <v>124</v>
      </c>
      <c r="F27" s="42" t="s">
        <v>125</v>
      </c>
      <c r="G27" s="42" t="s">
        <v>22</v>
      </c>
      <c r="H27" s="42" t="s">
        <v>22</v>
      </c>
      <c r="I27" s="42" t="s">
        <v>22</v>
      </c>
      <c r="J27" s="117"/>
      <c r="K27" s="46">
        <v>76.650000000000006</v>
      </c>
      <c r="L27" s="118">
        <f t="shared" ref="L27" si="27">SUM(K27)</f>
        <v>76.650000000000006</v>
      </c>
      <c r="M27" s="119">
        <f>L27*0.15</f>
        <v>11.4975</v>
      </c>
      <c r="N27" s="119">
        <f t="shared" ref="N27" si="28">M27+L27</f>
        <v>88.147500000000008</v>
      </c>
      <c r="O27" s="120"/>
      <c r="P27" s="121" t="s">
        <v>42</v>
      </c>
    </row>
    <row r="28" spans="1:16" ht="12.75" customHeight="1" x14ac:dyDescent="0.25">
      <c r="A28" s="42" t="s">
        <v>37</v>
      </c>
      <c r="B28" s="42" t="s">
        <v>38</v>
      </c>
      <c r="C28" s="43" t="s">
        <v>122</v>
      </c>
      <c r="D28" s="42" t="s">
        <v>123</v>
      </c>
      <c r="E28" s="42" t="s">
        <v>124</v>
      </c>
      <c r="F28" s="42" t="s">
        <v>126</v>
      </c>
      <c r="G28" s="42"/>
      <c r="H28" s="42"/>
      <c r="I28" s="42"/>
      <c r="J28" s="117"/>
      <c r="K28" s="46">
        <v>60</v>
      </c>
      <c r="L28" s="118">
        <f t="shared" ref="L28:L29" si="29">SUM(K28)</f>
        <v>60</v>
      </c>
      <c r="M28" s="119">
        <f t="shared" ref="M28:M29" si="30">L28*0.15</f>
        <v>9</v>
      </c>
      <c r="N28" s="119">
        <f t="shared" ref="N28:N29" si="31">M28+L28</f>
        <v>69</v>
      </c>
      <c r="O28" s="120"/>
      <c r="P28" s="121"/>
    </row>
    <row r="29" spans="1:16" ht="12.75" customHeight="1" x14ac:dyDescent="0.25">
      <c r="A29" s="42" t="s">
        <v>37</v>
      </c>
      <c r="B29" s="42" t="s">
        <v>38</v>
      </c>
      <c r="C29" s="43" t="s">
        <v>127</v>
      </c>
      <c r="D29" s="42" t="s">
        <v>23</v>
      </c>
      <c r="E29" s="42" t="s">
        <v>128</v>
      </c>
      <c r="F29" s="42" t="s">
        <v>129</v>
      </c>
      <c r="G29" s="42"/>
      <c r="H29" s="42"/>
      <c r="I29" s="42"/>
      <c r="J29" s="117"/>
      <c r="K29" s="46">
        <v>19.899999999999999</v>
      </c>
      <c r="L29" s="118">
        <f t="shared" si="29"/>
        <v>19.899999999999999</v>
      </c>
      <c r="M29" s="119">
        <f t="shared" si="30"/>
        <v>2.9849999999999999</v>
      </c>
      <c r="N29" s="119">
        <f t="shared" si="31"/>
        <v>22.884999999999998</v>
      </c>
      <c r="O29" s="120"/>
      <c r="P29" s="121"/>
    </row>
    <row r="30" spans="1:16" ht="12.75" customHeight="1" thickBot="1" x14ac:dyDescent="0.3">
      <c r="A30" s="10"/>
      <c r="B30" s="10"/>
      <c r="C30" s="12"/>
      <c r="D30" s="10"/>
      <c r="E30" s="10"/>
      <c r="F30" s="10"/>
      <c r="G30" s="24">
        <v>46228</v>
      </c>
      <c r="H30" s="19"/>
      <c r="I30" s="124" t="s">
        <v>139</v>
      </c>
      <c r="J30" s="125"/>
      <c r="K30" s="21" t="s">
        <v>27</v>
      </c>
      <c r="L30" s="22">
        <f>SUM(L27:L29)</f>
        <v>156.55000000000001</v>
      </c>
      <c r="M30" s="22">
        <f>SUM(M27:M29)</f>
        <v>23.482500000000002</v>
      </c>
      <c r="N30" s="22">
        <f>SUM(N27:N29)</f>
        <v>180.0325</v>
      </c>
      <c r="O30" s="17"/>
      <c r="P30" s="1"/>
    </row>
    <row r="31" spans="1:16" ht="12.75" customHeight="1" x14ac:dyDescent="0.25">
      <c r="K31" s="1"/>
      <c r="L31" s="1"/>
      <c r="M31" s="1"/>
      <c r="N31" s="1"/>
      <c r="O31" s="1"/>
      <c r="P31" s="1"/>
    </row>
    <row r="32" spans="1:16" ht="12.75" customHeight="1" x14ac:dyDescent="0.25">
      <c r="A32" s="105" t="s">
        <v>114</v>
      </c>
      <c r="B32" s="105" t="s">
        <v>41</v>
      </c>
      <c r="C32" s="106" t="s">
        <v>130</v>
      </c>
      <c r="D32" s="105" t="s">
        <v>23</v>
      </c>
      <c r="E32" s="105" t="s">
        <v>131</v>
      </c>
      <c r="F32" s="105" t="s">
        <v>132</v>
      </c>
      <c r="G32" s="105" t="s">
        <v>22</v>
      </c>
      <c r="H32" s="105" t="s">
        <v>22</v>
      </c>
      <c r="I32" s="105" t="s">
        <v>22</v>
      </c>
      <c r="J32" s="111"/>
      <c r="K32" s="109">
        <v>19.600000000000001</v>
      </c>
      <c r="L32" s="112">
        <f t="shared" ref="L32" si="32">SUM(K32)</f>
        <v>19.600000000000001</v>
      </c>
      <c r="M32" s="113">
        <f>L32*0.15</f>
        <v>2.94</v>
      </c>
      <c r="N32" s="113">
        <f t="shared" ref="N32" si="33">M32+L32</f>
        <v>22.540000000000003</v>
      </c>
      <c r="O32" s="114"/>
      <c r="P32" s="115" t="s">
        <v>42</v>
      </c>
    </row>
    <row r="33" spans="1:16" ht="12.75" customHeight="1" thickBot="1" x14ac:dyDescent="0.3">
      <c r="A33" s="10"/>
      <c r="B33" s="10"/>
      <c r="C33" s="12"/>
      <c r="D33" s="10"/>
      <c r="E33" s="10"/>
      <c r="F33" s="10"/>
      <c r="G33" s="24">
        <v>45770</v>
      </c>
      <c r="H33" s="19"/>
      <c r="I33" s="122" t="s">
        <v>140</v>
      </c>
      <c r="J33" s="123"/>
      <c r="K33" s="21" t="s">
        <v>27</v>
      </c>
      <c r="L33" s="22">
        <f>SUM(L32:L32)</f>
        <v>19.600000000000001</v>
      </c>
      <c r="M33" s="22">
        <f>SUM(M32:M32)</f>
        <v>2.94</v>
      </c>
      <c r="N33" s="22">
        <f>SUM(N32:N32)</f>
        <v>22.540000000000003</v>
      </c>
      <c r="O33" s="17"/>
      <c r="P33" s="1"/>
    </row>
    <row r="34" spans="1:16" ht="12.75" customHeight="1" x14ac:dyDescent="0.25">
      <c r="P34" s="1"/>
    </row>
    <row r="35" spans="1:16" ht="12.75" customHeight="1" x14ac:dyDescent="0.25">
      <c r="P35" s="1"/>
    </row>
    <row r="36" spans="1:16" ht="12.75" customHeight="1" x14ac:dyDescent="0.25">
      <c r="P36" s="1"/>
    </row>
    <row r="37" spans="1:16" ht="12.75" customHeight="1" x14ac:dyDescent="0.25">
      <c r="P37" s="1"/>
    </row>
    <row r="38" spans="1:16" ht="15" customHeight="1" x14ac:dyDescent="0.25">
      <c r="P38" s="1"/>
    </row>
    <row r="39" spans="1:16" ht="12.75" customHeight="1" x14ac:dyDescent="0.25">
      <c r="P39" s="1"/>
    </row>
    <row r="40" spans="1:16" ht="12.75" customHeight="1" x14ac:dyDescent="0.25">
      <c r="P40" s="1"/>
    </row>
    <row r="41" spans="1:16" ht="12.75" x14ac:dyDescent="0.25">
      <c r="P41" s="1"/>
    </row>
    <row r="42" spans="1:16" ht="12.75" x14ac:dyDescent="0.25">
      <c r="P42" s="1"/>
    </row>
    <row r="43" spans="1:16" ht="12.75" customHeight="1" x14ac:dyDescent="0.25">
      <c r="P43" s="1"/>
    </row>
    <row r="44" spans="1:16" ht="12.75" customHeight="1" x14ac:dyDescent="0.25">
      <c r="P44" s="1"/>
    </row>
    <row r="45" spans="1:16" ht="12.75" customHeight="1" x14ac:dyDescent="0.25">
      <c r="P45" s="1"/>
    </row>
    <row r="46" spans="1:16" ht="12.75" x14ac:dyDescent="0.25">
      <c r="P46" s="1"/>
    </row>
    <row r="47" spans="1:16" ht="12.75" x14ac:dyDescent="0.25">
      <c r="P47" s="1"/>
    </row>
    <row r="48" spans="1:16" ht="12.75" x14ac:dyDescent="0.25">
      <c r="P48" s="1"/>
    </row>
    <row r="49" spans="16:16" ht="12.75" x14ac:dyDescent="0.25">
      <c r="P49" s="1"/>
    </row>
    <row r="50" spans="16:16" ht="20.100000000000001" customHeight="1" x14ac:dyDescent="0.25">
      <c r="P50" s="1"/>
    </row>
    <row r="51" spans="16:16" ht="20.100000000000001" customHeight="1" x14ac:dyDescent="0.25">
      <c r="P51" s="1"/>
    </row>
    <row r="52" spans="16:16" ht="20.100000000000001" customHeight="1" x14ac:dyDescent="0.25">
      <c r="P52" s="1"/>
    </row>
    <row r="53" spans="16:16" ht="20.100000000000001" customHeight="1" x14ac:dyDescent="0.25">
      <c r="P53" s="1"/>
    </row>
    <row r="54" spans="16:16" ht="20.100000000000001" customHeight="1" x14ac:dyDescent="0.25">
      <c r="P54" s="1"/>
    </row>
    <row r="55" spans="16:16" ht="20.100000000000001" customHeight="1" x14ac:dyDescent="0.25">
      <c r="P55" s="1"/>
    </row>
    <row r="56" spans="16:16" ht="20.100000000000001" customHeight="1" x14ac:dyDescent="0.25">
      <c r="P56" s="1"/>
    </row>
    <row r="57" spans="16:16" ht="20.100000000000001" customHeight="1" x14ac:dyDescent="0.25">
      <c r="P57" s="1"/>
    </row>
    <row r="58" spans="16:16" ht="20.100000000000001" customHeight="1" x14ac:dyDescent="0.25">
      <c r="P58" s="1"/>
    </row>
    <row r="59" spans="16:16" ht="20.100000000000001" customHeight="1" x14ac:dyDescent="0.25">
      <c r="P59" s="1"/>
    </row>
    <row r="60" spans="16:16" ht="20.100000000000001" customHeight="1" x14ac:dyDescent="0.25">
      <c r="P60" s="1"/>
    </row>
    <row r="61" spans="16:16" ht="20.100000000000001" customHeight="1" x14ac:dyDescent="0.25">
      <c r="P61" s="1"/>
    </row>
    <row r="62" spans="16:16" ht="20.100000000000001" customHeight="1" x14ac:dyDescent="0.25">
      <c r="P62" s="1"/>
    </row>
    <row r="63" spans="16:16" ht="20.100000000000001" customHeight="1" x14ac:dyDescent="0.25">
      <c r="P63" s="1"/>
    </row>
    <row r="64" spans="16:16" ht="20.100000000000001" customHeight="1" x14ac:dyDescent="0.25">
      <c r="P64" s="1"/>
    </row>
    <row r="65" spans="16:16" ht="20.100000000000001" customHeight="1" x14ac:dyDescent="0.25">
      <c r="P65" s="1"/>
    </row>
    <row r="66" spans="16:16" ht="20.100000000000001" customHeight="1" x14ac:dyDescent="0.25">
      <c r="P66" s="1"/>
    </row>
    <row r="67" spans="16:16" ht="20.100000000000001" customHeight="1" x14ac:dyDescent="0.25">
      <c r="P67" s="1"/>
    </row>
    <row r="68" spans="16:16" ht="20.100000000000001" customHeight="1" x14ac:dyDescent="0.25">
      <c r="P68" s="1"/>
    </row>
    <row r="69" spans="16:16" ht="20.100000000000001" customHeight="1" x14ac:dyDescent="0.25">
      <c r="P69" s="1"/>
    </row>
    <row r="70" spans="16:16" ht="20.100000000000001" customHeight="1" x14ac:dyDescent="0.25">
      <c r="P70" s="1"/>
    </row>
    <row r="71" spans="16:16" ht="18" customHeight="1" x14ac:dyDescent="0.25">
      <c r="P71" s="1"/>
    </row>
    <row r="72" spans="16:16" ht="18" customHeight="1" x14ac:dyDescent="0.25">
      <c r="P72" s="1"/>
    </row>
    <row r="73" spans="16:16" ht="18" customHeight="1" x14ac:dyDescent="0.25">
      <c r="P73" s="1"/>
    </row>
    <row r="74" spans="16:16" ht="18" customHeight="1" x14ac:dyDescent="0.25">
      <c r="P74" s="1"/>
    </row>
    <row r="75" spans="16:16" ht="18" customHeight="1" x14ac:dyDescent="0.25">
      <c r="P75" s="1"/>
    </row>
    <row r="76" spans="16:16" ht="18" customHeight="1" x14ac:dyDescent="0.25">
      <c r="P76" s="1"/>
    </row>
    <row r="77" spans="16:16" ht="18" customHeight="1" x14ac:dyDescent="0.25">
      <c r="P77" s="1"/>
    </row>
    <row r="78" spans="16:16" ht="18" customHeight="1" x14ac:dyDescent="0.25">
      <c r="P78" s="1"/>
    </row>
    <row r="79" spans="16:16" ht="18" customHeight="1" x14ac:dyDescent="0.25">
      <c r="P79" s="1"/>
    </row>
    <row r="80" spans="16:16" ht="18" customHeight="1" x14ac:dyDescent="0.25">
      <c r="P80" s="1"/>
    </row>
    <row r="81" spans="16:16" ht="18" customHeight="1" x14ac:dyDescent="0.25">
      <c r="P81" s="1"/>
    </row>
    <row r="82" spans="16:16" ht="18" customHeight="1" x14ac:dyDescent="0.25">
      <c r="P82" s="1"/>
    </row>
    <row r="83" spans="16:16" ht="18" customHeight="1" x14ac:dyDescent="0.25">
      <c r="P83" s="1"/>
    </row>
    <row r="84" spans="16:16" ht="18" customHeight="1" x14ac:dyDescent="0.25">
      <c r="P84" s="1"/>
    </row>
    <row r="85" spans="16:16" ht="18" customHeight="1" x14ac:dyDescent="0.25">
      <c r="P85" s="1"/>
    </row>
    <row r="86" spans="16:16" ht="18" customHeight="1" x14ac:dyDescent="0.25">
      <c r="P86" s="1"/>
    </row>
    <row r="87" spans="16:16" ht="18" customHeight="1" x14ac:dyDescent="0.25">
      <c r="P87" s="1"/>
    </row>
    <row r="88" spans="16:16" ht="20.25" customHeight="1" x14ac:dyDescent="0.25">
      <c r="P88" s="1"/>
    </row>
    <row r="89" spans="16:16" ht="20.25" customHeight="1" x14ac:dyDescent="0.25">
      <c r="P89" s="1"/>
    </row>
    <row r="90" spans="16:16" ht="20.25" customHeight="1" x14ac:dyDescent="0.25">
      <c r="P90" s="1"/>
    </row>
    <row r="91" spans="16:16" ht="18" customHeight="1" x14ac:dyDescent="0.25">
      <c r="P91" s="1"/>
    </row>
    <row r="92" spans="16:16" ht="18" customHeight="1" x14ac:dyDescent="0.25">
      <c r="P92" s="1"/>
    </row>
    <row r="93" spans="16:16" ht="18" customHeight="1" x14ac:dyDescent="0.25">
      <c r="P93" s="1"/>
    </row>
    <row r="94" spans="16:16" ht="18" customHeight="1" x14ac:dyDescent="0.25">
      <c r="P94" s="1"/>
    </row>
    <row r="95" spans="16:16" ht="18" customHeight="1" x14ac:dyDescent="0.25">
      <c r="P95" s="1"/>
    </row>
    <row r="96" spans="16:16" ht="18" customHeight="1" x14ac:dyDescent="0.25">
      <c r="P96" s="1"/>
    </row>
    <row r="97" spans="16:16" ht="18" customHeight="1" x14ac:dyDescent="0.25">
      <c r="P97" s="1"/>
    </row>
    <row r="98" spans="16:16" ht="18" customHeight="1" x14ac:dyDescent="0.25">
      <c r="P98" s="1"/>
    </row>
    <row r="99" spans="16:16" ht="18" customHeight="1" x14ac:dyDescent="0.25">
      <c r="P99" s="1"/>
    </row>
    <row r="100" spans="16:16" ht="18" customHeight="1" x14ac:dyDescent="0.25">
      <c r="P100" s="1"/>
    </row>
    <row r="101" spans="16:16" ht="18" customHeight="1" x14ac:dyDescent="0.25">
      <c r="P101" s="1"/>
    </row>
    <row r="102" spans="16:16" ht="18" customHeight="1" x14ac:dyDescent="0.25">
      <c r="P102" s="1"/>
    </row>
    <row r="103" spans="16:16" ht="18" customHeight="1" x14ac:dyDescent="0.25">
      <c r="P103" s="1"/>
    </row>
    <row r="104" spans="16:16" ht="18" customHeight="1" x14ac:dyDescent="0.25">
      <c r="P104" s="1"/>
    </row>
    <row r="105" spans="16:16" ht="18" customHeight="1" x14ac:dyDescent="0.25">
      <c r="P105" s="1"/>
    </row>
    <row r="106" spans="16:16" ht="18" customHeight="1" x14ac:dyDescent="0.25">
      <c r="P106" s="1"/>
    </row>
    <row r="107" spans="16:16" ht="18" customHeight="1" x14ac:dyDescent="0.25">
      <c r="P107" s="1"/>
    </row>
    <row r="108" spans="16:16" ht="18" customHeight="1" x14ac:dyDescent="0.25">
      <c r="P108" s="1"/>
    </row>
    <row r="109" spans="16:16" ht="18" customHeight="1" x14ac:dyDescent="0.25">
      <c r="P109" s="1"/>
    </row>
    <row r="110" spans="16:16" ht="18" customHeight="1" x14ac:dyDescent="0.25">
      <c r="P110" s="1"/>
    </row>
    <row r="111" spans="16:16" ht="18" customHeight="1" x14ac:dyDescent="0.25">
      <c r="P111" s="1"/>
    </row>
    <row r="112" spans="16:16" ht="18" customHeight="1" x14ac:dyDescent="0.25">
      <c r="P112" s="1"/>
    </row>
    <row r="113" spans="16:16" ht="18" customHeight="1" x14ac:dyDescent="0.25">
      <c r="P113" s="1"/>
    </row>
    <row r="114" spans="16:16" ht="18" customHeight="1" x14ac:dyDescent="0.25">
      <c r="P114" s="1"/>
    </row>
    <row r="115" spans="16:16" ht="18" customHeight="1" x14ac:dyDescent="0.25">
      <c r="P115" s="1"/>
    </row>
    <row r="116" spans="16:16" ht="18" customHeight="1" x14ac:dyDescent="0.25">
      <c r="P116" s="1"/>
    </row>
    <row r="117" spans="16:16" ht="18" customHeight="1" x14ac:dyDescent="0.25">
      <c r="P117" s="1"/>
    </row>
    <row r="118" spans="16:16" ht="18" customHeight="1" x14ac:dyDescent="0.25">
      <c r="P118" s="1"/>
    </row>
    <row r="119" spans="16:16" ht="18" customHeight="1" x14ac:dyDescent="0.25">
      <c r="P119" s="1"/>
    </row>
    <row r="120" spans="16:16" ht="18" customHeight="1" x14ac:dyDescent="0.25">
      <c r="P120" s="1"/>
    </row>
    <row r="121" spans="16:16" ht="18" customHeight="1" x14ac:dyDescent="0.25">
      <c r="P121" s="1"/>
    </row>
    <row r="122" spans="16:16" ht="18" customHeight="1" x14ac:dyDescent="0.25">
      <c r="P122" s="1"/>
    </row>
    <row r="123" spans="16:16" ht="18" customHeight="1" x14ac:dyDescent="0.25">
      <c r="P123" s="1"/>
    </row>
    <row r="124" spans="16:16" ht="18" customHeight="1" x14ac:dyDescent="0.25">
      <c r="P124" s="1"/>
    </row>
    <row r="125" spans="16:16" ht="18" customHeight="1" x14ac:dyDescent="0.25">
      <c r="P125" s="1"/>
    </row>
    <row r="126" spans="16:16" ht="18" customHeight="1" x14ac:dyDescent="0.25">
      <c r="P126" s="9"/>
    </row>
    <row r="165" spans="17:17" ht="18" customHeight="1" x14ac:dyDescent="0.25">
      <c r="Q165" s="4"/>
    </row>
  </sheetData>
  <mergeCells count="9">
    <mergeCell ref="A1:E1"/>
    <mergeCell ref="F1:J1"/>
    <mergeCell ref="K1:O1"/>
    <mergeCell ref="I12:J12"/>
    <mergeCell ref="I33:J33"/>
    <mergeCell ref="I30:J30"/>
    <mergeCell ref="I20:J20"/>
    <mergeCell ref="I25:J25"/>
    <mergeCell ref="P1:P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MANGES</vt:lpstr>
      <vt:lpstr>MANT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Suarez</dc:creator>
  <cp:lastModifiedBy>a1014</cp:lastModifiedBy>
  <dcterms:created xsi:type="dcterms:W3CDTF">2019-01-23T16:39:16Z</dcterms:created>
  <dcterms:modified xsi:type="dcterms:W3CDTF">2026-04-25T16:54:17Z</dcterms:modified>
</cp:coreProperties>
</file>