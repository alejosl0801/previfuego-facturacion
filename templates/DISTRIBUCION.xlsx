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revifuego\2026\0 GRUPO KFC\ABRIL\"/>
    </mc:Choice>
  </mc:AlternateContent>
  <xr:revisionPtr revIDLastSave="0" documentId="13_ncr:1_{830CA91C-AC7F-45A4-8D2B-7CC2424148A2}" xr6:coauthVersionLast="47" xr6:coauthVersionMax="47" xr10:uidLastSave="{00000000-0000-0000-0000-000000000000}"/>
  <bookViews>
    <workbookView xWindow="-120" yWindow="-120" windowWidth="19440" windowHeight="10440" firstSheet="2" activeTab="7" xr2:uid="{00000000-000D-0000-FFFF-FFFF00000000}"/>
  </bookViews>
  <sheets>
    <sheet name="FACT 3160" sheetId="11" r:id="rId1"/>
    <sheet name="FACT 3297" sheetId="10" r:id="rId2"/>
    <sheet name="FACT 3298" sheetId="15" r:id="rId3"/>
    <sheet name="FACT 3299" sheetId="17" r:id="rId4"/>
    <sheet name="FACT 3300" sheetId="13" r:id="rId5"/>
    <sheet name="FACT 3301" sheetId="9" r:id="rId6"/>
    <sheet name="FACT 3302" sheetId="16" r:id="rId7"/>
    <sheet name="FACT 3303" sheetId="2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7" l="1"/>
  <c r="E10" i="17"/>
  <c r="D3" i="17"/>
  <c r="E3" i="17"/>
  <c r="D4" i="17"/>
  <c r="E4" i="17"/>
  <c r="D5" i="17"/>
  <c r="E5" i="17"/>
  <c r="D6" i="17"/>
  <c r="E6" i="17"/>
  <c r="D7" i="17"/>
  <c r="E7" i="17"/>
  <c r="D8" i="17"/>
  <c r="E8" i="17"/>
  <c r="D9" i="17"/>
  <c r="E9" i="17"/>
  <c r="C8" i="10"/>
  <c r="C7" i="20"/>
  <c r="E2" i="20"/>
  <c r="E7" i="20" s="1"/>
  <c r="D2" i="20"/>
  <c r="D7" i="20" s="1"/>
  <c r="D3" i="16"/>
  <c r="E3" i="16"/>
  <c r="D4" i="16"/>
  <c r="E4" i="16"/>
  <c r="C7" i="9"/>
  <c r="D2" i="9"/>
  <c r="E2" i="9" s="1"/>
  <c r="C12" i="13"/>
  <c r="D2" i="13"/>
  <c r="E2" i="13" s="1"/>
  <c r="C14" i="11"/>
  <c r="D3" i="11"/>
  <c r="E3" i="11" s="1"/>
  <c r="D4" i="11"/>
  <c r="E4" i="11"/>
  <c r="D3" i="15"/>
  <c r="E3" i="15" s="1"/>
  <c r="C12" i="17"/>
  <c r="D2" i="17"/>
  <c r="D12" i="17" l="1"/>
  <c r="E2" i="17"/>
  <c r="E12" i="17" s="1"/>
  <c r="C7" i="16"/>
  <c r="D2" i="16"/>
  <c r="E2" i="16" s="1"/>
  <c r="D7" i="16" l="1"/>
  <c r="E7" i="16"/>
  <c r="C14" i="15"/>
  <c r="D2" i="15"/>
  <c r="E2" i="15" s="1"/>
  <c r="D4" i="9"/>
  <c r="E4" i="9" s="1"/>
  <c r="D3" i="9"/>
  <c r="D3" i="13"/>
  <c r="D4" i="13"/>
  <c r="E4" i="13" s="1"/>
  <c r="D5" i="13"/>
  <c r="E5" i="13" s="1"/>
  <c r="D2" i="11"/>
  <c r="E2" i="11" s="1"/>
  <c r="D2" i="10"/>
  <c r="E2" i="10" s="1"/>
  <c r="E3" i="13" l="1"/>
  <c r="E12" i="13" s="1"/>
  <c r="D12" i="13"/>
  <c r="E3" i="9"/>
  <c r="E7" i="9" s="1"/>
  <c r="D7" i="9"/>
  <c r="E14" i="11"/>
  <c r="D14" i="11"/>
  <c r="D14" i="15"/>
  <c r="E14" i="15"/>
  <c r="D8" i="10"/>
  <c r="E8" i="10"/>
</calcChain>
</file>

<file path=xl/sharedStrings.xml><?xml version="1.0" encoding="utf-8"?>
<sst xmlns="http://schemas.openxmlformats.org/spreadsheetml/2006/main" count="101" uniqueCount="47">
  <si>
    <t>C.C.</t>
  </si>
  <si>
    <t>DESCRIPCION</t>
  </si>
  <si>
    <t>SUBTOTAL</t>
  </si>
  <si>
    <t>IVA</t>
  </si>
  <si>
    <t>TOTAL</t>
  </si>
  <si>
    <t>TOTAL:</t>
  </si>
  <si>
    <t>LAMPARA EMERGENCIA</t>
  </si>
  <si>
    <t>EXTINTORES MANTENIMIENTO ANUAL</t>
  </si>
  <si>
    <t xml:space="preserve">     </t>
  </si>
  <si>
    <t>K117EC</t>
  </si>
  <si>
    <t xml:space="preserve">RECARGA EXTINTIR 10CO2 Y ACCESORIOS </t>
  </si>
  <si>
    <t>K082EC</t>
  </si>
  <si>
    <t>K161EC</t>
  </si>
  <si>
    <t>G045EC</t>
  </si>
  <si>
    <t>I012EC</t>
  </si>
  <si>
    <t>V057EC</t>
  </si>
  <si>
    <t>V087EC</t>
  </si>
  <si>
    <t>K067EC</t>
  </si>
  <si>
    <t>K183EC</t>
  </si>
  <si>
    <t>OFICINAS</t>
  </si>
  <si>
    <t>MANTENIMIENTO EXTINTOR</t>
  </si>
  <si>
    <t>ARREGLO EXTINTORES</t>
  </si>
  <si>
    <t>SEÑALETICAS VARIAS</t>
  </si>
  <si>
    <t>PEDESTALES PARA EXTINTOR Y SEÑALET</t>
  </si>
  <si>
    <t>K088EC</t>
  </si>
  <si>
    <t>LETRERO PARA EXTINTORES</t>
  </si>
  <si>
    <t>K153EC</t>
  </si>
  <si>
    <t>EXTINTOR 20 CO2 NUEVO</t>
  </si>
  <si>
    <t>EXTINTOR 10 PQS NUEVO</t>
  </si>
  <si>
    <t>J019EC</t>
  </si>
  <si>
    <t>J021EC</t>
  </si>
  <si>
    <t>VISITA TECNICA Y VARIOS</t>
  </si>
  <si>
    <t>M050EC</t>
  </si>
  <si>
    <t>R010EC</t>
  </si>
  <si>
    <t>EXTINTOR 20 PQS NUEVO CON CAJETIN Y LETRERO</t>
  </si>
  <si>
    <t>T051EC</t>
  </si>
  <si>
    <t>T032EC</t>
  </si>
  <si>
    <t>DI03EC</t>
  </si>
  <si>
    <t>REC 10 PQS</t>
  </si>
  <si>
    <t>VISITA TECNICA</t>
  </si>
  <si>
    <t>REUBICACION DE EXTINTORES</t>
  </si>
  <si>
    <t>V016EC</t>
  </si>
  <si>
    <t>V082EC</t>
  </si>
  <si>
    <t xml:space="preserve">EXTINTOR 10CO2 NUEVO </t>
  </si>
  <si>
    <t>PEDESTAL EXTINTOR</t>
  </si>
  <si>
    <t>VISITA TECNICA EXTINTORES</t>
  </si>
  <si>
    <t>REUBICACION EXTINTORES Y LETREROS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</si>
</sst>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2" fontId="0" fillId="0" borderId="1" xfId="1" applyNumberFormat="1" applyFont="1" applyBorder="1"/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0B5D-3D77-4FF8-AF1D-0E84AB9D34B0}">
  <dimension ref="A1:E18"/>
  <sheetViews>
    <sheetView workbookViewId="0">
      <selection activeCell="C2" sqref="C2"/>
    </sheetView>
  </sheetViews>
  <sheetFormatPr baseColWidth="10" defaultColWidth="10.7109375" defaultRowHeight="15" x14ac:dyDescent="0.25"/>
  <cols>
    <col min="1" max="1" width="12.85546875" bestFit="1" customWidth="1"/>
    <col min="2" max="2" width="41.2851562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11</v>
      </c>
      <c r="B2" s="1" t="s">
        <v>7</v>
      </c>
      <c r="C2" s="2">
        <v>76</v>
      </c>
      <c r="D2" s="2">
        <f t="shared" ref="D2" si="0">C2*0.15</f>
        <v>11.4</v>
      </c>
      <c r="E2" s="2">
        <f t="shared" ref="E2:E5" si="1">SUM(D2,C2)</f>
        <v>87.4</v>
      </c>
    </row>
    <row r="3" spans="1:5" x14ac:dyDescent="0.25">
      <c r="A3" s="3" t="s">
        <v>12</v>
      </c>
      <c r="B3" s="1" t="s">
        <v>7</v>
      </c>
      <c r="C3" s="2">
        <v>36</v>
      </c>
      <c r="D3" s="2">
        <f t="shared" ref="D3:D4" si="2">C3*0.15</f>
        <v>5.3999999999999995</v>
      </c>
      <c r="E3" s="2">
        <f t="shared" ref="E3:E4" si="3">SUM(D3,C3)</f>
        <v>41.4</v>
      </c>
    </row>
    <row r="4" spans="1:5" x14ac:dyDescent="0.25">
      <c r="A4" s="3" t="s">
        <v>13</v>
      </c>
      <c r="B4" s="1" t="s">
        <v>7</v>
      </c>
      <c r="C4" s="2">
        <v>32</v>
      </c>
      <c r="D4" s="2">
        <f t="shared" si="2"/>
        <v>4.8</v>
      </c>
      <c r="E4" s="2">
        <f t="shared" si="3"/>
        <v>36.799999999999997</v>
      </c>
    </row>
    <row r="5" spans="1:5" x14ac:dyDescent="0.25">
      <c r="A5" s="3"/>
      <c r="B5" s="1"/>
      <c r="C5" s="2"/>
      <c r="D5" s="2"/>
      <c r="E5" s="2"/>
    </row>
    <row r="6" spans="1:5" x14ac:dyDescent="0.25">
      <c r="A6" s="3"/>
      <c r="B6" s="1"/>
      <c r="C6" s="2"/>
      <c r="D6" s="2"/>
      <c r="E6" s="2"/>
    </row>
    <row r="7" spans="1:5" x14ac:dyDescent="0.25">
      <c r="A7" s="3"/>
      <c r="B7" s="1"/>
      <c r="C7" s="2"/>
      <c r="D7" s="2"/>
      <c r="E7" s="2"/>
    </row>
    <row r="8" spans="1:5" x14ac:dyDescent="0.25">
      <c r="A8" s="3"/>
      <c r="B8" s="1"/>
      <c r="C8" s="2"/>
      <c r="D8" s="2"/>
      <c r="E8" s="2"/>
    </row>
    <row r="9" spans="1:5" x14ac:dyDescent="0.25">
      <c r="A9" s="3"/>
      <c r="B9" s="1"/>
      <c r="C9" s="2"/>
      <c r="D9" s="2"/>
      <c r="E9" s="2"/>
    </row>
    <row r="10" spans="1:5" x14ac:dyDescent="0.25">
      <c r="A10" s="3"/>
      <c r="B10" s="1"/>
      <c r="C10" s="2"/>
      <c r="D10" s="2"/>
      <c r="E10" s="2"/>
    </row>
    <row r="11" spans="1:5" x14ac:dyDescent="0.25">
      <c r="A11" s="3"/>
      <c r="B11" s="1"/>
      <c r="C11" s="2"/>
      <c r="D11" s="2"/>
      <c r="E11" s="2"/>
    </row>
    <row r="12" spans="1:5" x14ac:dyDescent="0.25">
      <c r="A12" s="3"/>
      <c r="B12" s="1"/>
      <c r="C12" s="2"/>
      <c r="D12" s="2"/>
      <c r="E12" s="2"/>
    </row>
    <row r="13" spans="1:5" x14ac:dyDescent="0.25">
      <c r="A13" s="3"/>
      <c r="B13" s="1"/>
      <c r="C13" s="2"/>
      <c r="D13" s="2"/>
      <c r="E13" s="2"/>
    </row>
    <row r="14" spans="1:5" x14ac:dyDescent="0.25">
      <c r="B14" s="3" t="s">
        <v>5</v>
      </c>
      <c r="C14" s="2">
        <f>SUM(C2:C13)</f>
        <v>144</v>
      </c>
      <c r="D14" s="2">
        <f>SUM(D2:D13)</f>
        <v>21.6</v>
      </c>
      <c r="E14" s="2">
        <f>SUM(E2:E13)</f>
        <v>165.60000000000002</v>
      </c>
    </row>
    <row r="18" spans="3:3" x14ac:dyDescent="0.25">
      <c r="C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2FB7-4D5B-441E-8FD2-0A07A065170B}">
  <dimension ref="A1:E8"/>
  <sheetViews>
    <sheetView workbookViewId="0">
      <selection activeCell="E12" sqref="E12"/>
    </sheetView>
  </sheetViews>
  <sheetFormatPr baseColWidth="10" defaultColWidth="10.7109375" defaultRowHeight="15" x14ac:dyDescent="0.25"/>
  <cols>
    <col min="2" max="2" width="41.2851562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14</v>
      </c>
      <c r="B2" s="1" t="s">
        <v>7</v>
      </c>
      <c r="C2" s="2">
        <v>32</v>
      </c>
      <c r="D2" s="2">
        <f>C2*0.15</f>
        <v>4.8</v>
      </c>
      <c r="E2" s="2">
        <f t="shared" ref="E2" si="0">SUM(D2,C2)</f>
        <v>36.799999999999997</v>
      </c>
    </row>
    <row r="3" spans="1:5" x14ac:dyDescent="0.25">
      <c r="A3" s="3"/>
      <c r="B3" s="1"/>
      <c r="C3" s="2"/>
      <c r="D3" s="2"/>
      <c r="E3" s="2"/>
    </row>
    <row r="4" spans="1:5" x14ac:dyDescent="0.25">
      <c r="A4" s="3"/>
      <c r="B4" s="1"/>
      <c r="C4" s="2"/>
      <c r="D4" s="2"/>
      <c r="E4" s="2"/>
    </row>
    <row r="5" spans="1:5" x14ac:dyDescent="0.25">
      <c r="A5" s="3"/>
      <c r="B5" s="1"/>
      <c r="C5" s="2"/>
      <c r="D5" s="2"/>
      <c r="E5" s="2"/>
    </row>
    <row r="6" spans="1:5" x14ac:dyDescent="0.25">
      <c r="A6" s="3"/>
      <c r="B6" s="1"/>
      <c r="C6" s="2"/>
      <c r="D6" s="2"/>
      <c r="E6" s="2"/>
    </row>
    <row r="7" spans="1:5" x14ac:dyDescent="0.25">
      <c r="A7" s="3"/>
      <c r="B7" s="1"/>
      <c r="C7" s="2"/>
      <c r="D7" s="2"/>
      <c r="E7" s="2"/>
    </row>
    <row r="8" spans="1:5" x14ac:dyDescent="0.25">
      <c r="B8" s="3" t="s">
        <v>5</v>
      </c>
      <c r="C8" s="2">
        <f>SUM(C2:C7)</f>
        <v>32</v>
      </c>
      <c r="D8" s="2">
        <f>SUM(D2:D7)</f>
        <v>4.8</v>
      </c>
      <c r="E8" s="2">
        <f>SUM(E2:E7)</f>
        <v>36.799999999999997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24E8-DEEA-4209-8254-80DFBDC84C0E}">
  <dimension ref="A1:E14"/>
  <sheetViews>
    <sheetView workbookViewId="0">
      <selection activeCell="C3" sqref="C3"/>
    </sheetView>
  </sheetViews>
  <sheetFormatPr baseColWidth="10" defaultColWidth="10.7109375" defaultRowHeight="15" x14ac:dyDescent="0.25"/>
  <cols>
    <col min="2" max="2" width="41.2851562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15</v>
      </c>
      <c r="B2" s="1" t="s">
        <v>7</v>
      </c>
      <c r="C2" s="2">
        <v>4</v>
      </c>
      <c r="D2" s="2">
        <f t="shared" ref="D2" si="0">C2*0.15</f>
        <v>0.6</v>
      </c>
      <c r="E2" s="2">
        <f t="shared" ref="E2" si="1">SUM(D2,C2)</f>
        <v>4.5999999999999996</v>
      </c>
    </row>
    <row r="3" spans="1:5" x14ac:dyDescent="0.25">
      <c r="A3" s="3" t="s">
        <v>16</v>
      </c>
      <c r="B3" s="1" t="s">
        <v>7</v>
      </c>
      <c r="C3" s="2">
        <v>8</v>
      </c>
      <c r="D3" s="2">
        <f t="shared" ref="D3" si="2">C3*0.15</f>
        <v>1.2</v>
      </c>
      <c r="E3" s="2">
        <f t="shared" ref="E3" si="3">SUM(D3,C3)</f>
        <v>9.1999999999999993</v>
      </c>
    </row>
    <row r="4" spans="1:5" x14ac:dyDescent="0.25">
      <c r="A4" s="3"/>
      <c r="B4" s="1"/>
      <c r="C4" s="2"/>
      <c r="D4" s="2"/>
      <c r="E4" s="2"/>
    </row>
    <row r="5" spans="1:5" x14ac:dyDescent="0.25">
      <c r="A5" s="3"/>
      <c r="B5" s="1"/>
      <c r="C5" s="2"/>
      <c r="D5" s="2"/>
      <c r="E5" s="2"/>
    </row>
    <row r="6" spans="1:5" x14ac:dyDescent="0.25">
      <c r="A6" s="3"/>
      <c r="B6" s="1"/>
      <c r="C6" s="2"/>
      <c r="D6" s="2"/>
      <c r="E6" s="2"/>
    </row>
    <row r="7" spans="1:5" x14ac:dyDescent="0.25">
      <c r="A7" s="3"/>
      <c r="B7" s="1"/>
      <c r="C7" s="2"/>
      <c r="D7" s="2"/>
      <c r="E7" s="2"/>
    </row>
    <row r="8" spans="1:5" x14ac:dyDescent="0.25">
      <c r="A8" s="3"/>
      <c r="B8" s="1"/>
      <c r="C8" s="2"/>
      <c r="D8" s="2"/>
      <c r="E8" s="2"/>
    </row>
    <row r="9" spans="1:5" x14ac:dyDescent="0.25">
      <c r="A9" s="3"/>
      <c r="B9" s="1"/>
      <c r="C9" s="2"/>
      <c r="D9" s="2"/>
      <c r="E9" s="2"/>
    </row>
    <row r="10" spans="1:5" x14ac:dyDescent="0.25">
      <c r="A10" s="3"/>
      <c r="B10" s="1"/>
      <c r="C10" s="2"/>
      <c r="D10" s="2"/>
      <c r="E10" s="2"/>
    </row>
    <row r="11" spans="1:5" x14ac:dyDescent="0.25">
      <c r="A11" s="3"/>
      <c r="B11" s="1"/>
      <c r="C11" s="2"/>
      <c r="D11" s="2"/>
      <c r="E11" s="2"/>
    </row>
    <row r="12" spans="1:5" x14ac:dyDescent="0.25">
      <c r="A12" s="3"/>
      <c r="B12" s="1"/>
      <c r="C12" s="2"/>
      <c r="D12" s="2"/>
      <c r="E12" s="2"/>
    </row>
    <row r="13" spans="1:5" x14ac:dyDescent="0.25">
      <c r="A13" s="3"/>
      <c r="B13" s="1"/>
      <c r="C13" s="2"/>
      <c r="D13" s="2"/>
      <c r="E13" s="2"/>
    </row>
    <row r="14" spans="1:5" x14ac:dyDescent="0.25">
      <c r="B14" s="3" t="s">
        <v>5</v>
      </c>
      <c r="C14" s="2">
        <f>SUM(C2:C13)</f>
        <v>12</v>
      </c>
      <c r="D14" s="2">
        <f>SUM(D2:D13)</f>
        <v>1.7999999999999998</v>
      </c>
      <c r="E14" s="2">
        <f>SUM(E2:E13)</f>
        <v>13.799999999999999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E53E-753D-4DBA-BE9E-7503F621F9A3}">
  <dimension ref="A1:E12"/>
  <sheetViews>
    <sheetView workbookViewId="0">
      <selection activeCell="G8" sqref="G8"/>
    </sheetView>
  </sheetViews>
  <sheetFormatPr baseColWidth="10" defaultRowHeight="15" x14ac:dyDescent="0.25"/>
  <cols>
    <col min="2" max="2" width="35.710937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17</v>
      </c>
      <c r="B2" s="1" t="s">
        <v>6</v>
      </c>
      <c r="C2" s="2">
        <v>32.799999999999997</v>
      </c>
      <c r="D2" s="2">
        <f t="shared" ref="D2" si="0">C2*0.15</f>
        <v>4.919999999999999</v>
      </c>
      <c r="E2" s="2">
        <f t="shared" ref="E2" si="1">SUM(D2,C2)</f>
        <v>37.72</v>
      </c>
    </row>
    <row r="3" spans="1:5" x14ac:dyDescent="0.25">
      <c r="A3" s="3" t="s">
        <v>18</v>
      </c>
      <c r="B3" s="1" t="s">
        <v>20</v>
      </c>
      <c r="C3" s="2">
        <v>24.9</v>
      </c>
      <c r="D3" s="2">
        <f t="shared" ref="D3:D10" si="2">C3*0.15</f>
        <v>3.7349999999999994</v>
      </c>
      <c r="E3" s="2">
        <f t="shared" ref="E3:E10" si="3">SUM(D3,C3)</f>
        <v>28.634999999999998</v>
      </c>
    </row>
    <row r="4" spans="1:5" x14ac:dyDescent="0.25">
      <c r="A4" s="3" t="s">
        <v>9</v>
      </c>
      <c r="B4" s="1" t="s">
        <v>21</v>
      </c>
      <c r="C4" s="2">
        <v>54.2</v>
      </c>
      <c r="D4" s="2">
        <f t="shared" si="2"/>
        <v>8.1300000000000008</v>
      </c>
      <c r="E4" s="2">
        <f t="shared" si="3"/>
        <v>62.330000000000005</v>
      </c>
    </row>
    <row r="5" spans="1:5" x14ac:dyDescent="0.25">
      <c r="A5" s="3" t="s">
        <v>12</v>
      </c>
      <c r="B5" s="1" t="s">
        <v>22</v>
      </c>
      <c r="C5" s="2">
        <v>9.8000000000000007</v>
      </c>
      <c r="D5" s="2">
        <f t="shared" si="2"/>
        <v>1.47</v>
      </c>
      <c r="E5" s="2">
        <f t="shared" si="3"/>
        <v>11.270000000000001</v>
      </c>
    </row>
    <row r="6" spans="1:5" x14ac:dyDescent="0.25">
      <c r="A6" s="3" t="s">
        <v>19</v>
      </c>
      <c r="B6" s="1" t="s">
        <v>23</v>
      </c>
      <c r="C6" s="2">
        <v>129.80000000000001</v>
      </c>
      <c r="D6" s="2">
        <f t="shared" si="2"/>
        <v>19.470000000000002</v>
      </c>
      <c r="E6" s="2">
        <f t="shared" si="3"/>
        <v>149.27000000000001</v>
      </c>
    </row>
    <row r="7" spans="1:5" x14ac:dyDescent="0.25">
      <c r="A7" s="3" t="s">
        <v>24</v>
      </c>
      <c r="B7" s="1" t="s">
        <v>25</v>
      </c>
      <c r="C7" s="2">
        <v>4.9000000000000004</v>
      </c>
      <c r="D7" s="2">
        <f t="shared" si="2"/>
        <v>0.73499999999999999</v>
      </c>
      <c r="E7" s="2">
        <f t="shared" si="3"/>
        <v>5.6350000000000007</v>
      </c>
    </row>
    <row r="8" spans="1:5" x14ac:dyDescent="0.25">
      <c r="A8" s="3" t="s">
        <v>13</v>
      </c>
      <c r="B8" s="1" t="s">
        <v>6</v>
      </c>
      <c r="C8" s="2">
        <v>32.799999999999997</v>
      </c>
      <c r="D8" s="2">
        <f t="shared" si="2"/>
        <v>4.919999999999999</v>
      </c>
      <c r="E8" s="2">
        <f t="shared" si="3"/>
        <v>37.72</v>
      </c>
    </row>
    <row r="9" spans="1:5" x14ac:dyDescent="0.25">
      <c r="A9" s="3" t="s">
        <v>26</v>
      </c>
      <c r="B9" s="1" t="s">
        <v>27</v>
      </c>
      <c r="C9" s="2">
        <v>148.03</v>
      </c>
      <c r="D9" s="2">
        <f t="shared" si="2"/>
        <v>22.204499999999999</v>
      </c>
      <c r="E9" s="2">
        <f t="shared" si="3"/>
        <v>170.2345</v>
      </c>
    </row>
    <row r="10" spans="1:5" x14ac:dyDescent="0.25">
      <c r="A10" s="3" t="s">
        <v>24</v>
      </c>
      <c r="B10" s="1" t="s">
        <v>28</v>
      </c>
      <c r="C10" s="2">
        <v>33.799999999999997</v>
      </c>
      <c r="D10" s="2">
        <f t="shared" si="2"/>
        <v>5.0699999999999994</v>
      </c>
      <c r="E10" s="2">
        <f t="shared" si="3"/>
        <v>38.869999999999997</v>
      </c>
    </row>
    <row r="11" spans="1:5" x14ac:dyDescent="0.25">
      <c r="A11" s="4"/>
      <c r="B11" s="1"/>
      <c r="C11" s="2"/>
      <c r="D11" s="2"/>
      <c r="E11" s="2"/>
    </row>
    <row r="12" spans="1:5" x14ac:dyDescent="0.25">
      <c r="B12" s="3" t="s">
        <v>5</v>
      </c>
      <c r="C12" s="2">
        <f>SUM(C2:C10)</f>
        <v>471.03000000000003</v>
      </c>
      <c r="D12" s="2">
        <f>SUM(D2:D10)</f>
        <v>70.654499999999985</v>
      </c>
      <c r="E12" s="2">
        <f>SUM(E2:E10)</f>
        <v>541.68450000000007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584C-5B2C-4AC8-A5FC-1D9DA013CDBC}">
  <dimension ref="A1:E12"/>
  <sheetViews>
    <sheetView workbookViewId="0">
      <selection activeCell="G12" sqref="G12"/>
    </sheetView>
  </sheetViews>
  <sheetFormatPr baseColWidth="10" defaultColWidth="10.7109375" defaultRowHeight="15" x14ac:dyDescent="0.25"/>
  <cols>
    <col min="2" max="2" width="48.710937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29</v>
      </c>
      <c r="B2" s="1" t="s">
        <v>10</v>
      </c>
      <c r="C2" s="2">
        <v>22.8</v>
      </c>
      <c r="D2" s="2">
        <f t="shared" ref="D2" si="0">C2*0.15</f>
        <v>3.42</v>
      </c>
      <c r="E2" s="2">
        <f t="shared" ref="E2" si="1">SUM(D2,C2)</f>
        <v>26.22</v>
      </c>
    </row>
    <row r="3" spans="1:5" x14ac:dyDescent="0.25">
      <c r="A3" s="3" t="s">
        <v>30</v>
      </c>
      <c r="B3" s="1" t="s">
        <v>31</v>
      </c>
      <c r="C3" s="2">
        <v>10</v>
      </c>
      <c r="D3" s="2">
        <f t="shared" ref="D3:D5" si="2">C3*0.15</f>
        <v>1.5</v>
      </c>
      <c r="E3" s="2">
        <f t="shared" ref="E3:E5" si="3">SUM(D3,C3)</f>
        <v>11.5</v>
      </c>
    </row>
    <row r="4" spans="1:5" x14ac:dyDescent="0.25">
      <c r="A4" s="3" t="s">
        <v>32</v>
      </c>
      <c r="B4" s="1" t="s">
        <v>31</v>
      </c>
      <c r="C4" s="2">
        <v>10</v>
      </c>
      <c r="D4" s="2">
        <f t="shared" si="2"/>
        <v>1.5</v>
      </c>
      <c r="E4" s="2">
        <f t="shared" si="3"/>
        <v>11.5</v>
      </c>
    </row>
    <row r="5" spans="1:5" x14ac:dyDescent="0.25">
      <c r="A5" s="3" t="s">
        <v>33</v>
      </c>
      <c r="B5" s="1" t="s">
        <v>34</v>
      </c>
      <c r="C5" s="2">
        <v>108.52</v>
      </c>
      <c r="D5" s="2">
        <f t="shared" si="2"/>
        <v>16.277999999999999</v>
      </c>
      <c r="E5" s="2">
        <f t="shared" si="3"/>
        <v>124.798</v>
      </c>
    </row>
    <row r="6" spans="1:5" x14ac:dyDescent="0.25">
      <c r="A6" s="3"/>
      <c r="B6" s="1"/>
      <c r="C6" s="2"/>
      <c r="D6" s="2"/>
      <c r="E6" s="2"/>
    </row>
    <row r="7" spans="1:5" x14ac:dyDescent="0.25">
      <c r="A7" s="3"/>
      <c r="B7" s="1"/>
      <c r="C7" s="2"/>
      <c r="D7" s="2"/>
      <c r="E7" s="2"/>
    </row>
    <row r="8" spans="1:5" x14ac:dyDescent="0.25">
      <c r="A8" s="3"/>
      <c r="B8" s="1"/>
      <c r="C8" s="2"/>
      <c r="D8" s="2"/>
      <c r="E8" s="2"/>
    </row>
    <row r="9" spans="1:5" x14ac:dyDescent="0.25">
      <c r="A9" s="3"/>
      <c r="B9" s="1"/>
      <c r="C9" s="2"/>
      <c r="D9" s="2"/>
      <c r="E9" s="2"/>
    </row>
    <row r="10" spans="1:5" x14ac:dyDescent="0.25">
      <c r="A10" s="3"/>
      <c r="B10" s="1"/>
      <c r="C10" s="2"/>
      <c r="D10" s="2"/>
      <c r="E10" s="2"/>
    </row>
    <row r="11" spans="1:5" x14ac:dyDescent="0.25">
      <c r="A11" s="3"/>
      <c r="B11" s="1"/>
      <c r="C11" s="2"/>
      <c r="D11" s="2"/>
      <c r="E11" s="2"/>
    </row>
    <row r="12" spans="1:5" x14ac:dyDescent="0.25">
      <c r="B12" s="3" t="s">
        <v>5</v>
      </c>
      <c r="C12" s="2">
        <f>SUM(C2:C11)</f>
        <v>151.32</v>
      </c>
      <c r="D12" s="2">
        <f>SUM(D2:D11)</f>
        <v>22.698</v>
      </c>
      <c r="E12" s="2">
        <f>SUM(E2:E11)</f>
        <v>174.018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67EF-613C-4649-B646-35433E24AC48}">
  <dimension ref="A1:E7"/>
  <sheetViews>
    <sheetView workbookViewId="0">
      <selection activeCell="D4" sqref="D4"/>
    </sheetView>
  </sheetViews>
  <sheetFormatPr baseColWidth="10" defaultColWidth="10.7109375" defaultRowHeight="15" x14ac:dyDescent="0.25"/>
  <cols>
    <col min="2" max="2" width="43.5703125" bestFit="1" customWidth="1"/>
    <col min="4" max="4" width="12.42578125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35</v>
      </c>
      <c r="B2" s="1" t="s">
        <v>38</v>
      </c>
      <c r="C2" s="2">
        <v>9.8000000000000007</v>
      </c>
      <c r="D2" s="2">
        <f>C2*0.15</f>
        <v>1.47</v>
      </c>
      <c r="E2" s="2">
        <f>SUM(D2,C2)</f>
        <v>11.270000000000001</v>
      </c>
    </row>
    <row r="3" spans="1:5" x14ac:dyDescent="0.25">
      <c r="A3" s="3" t="s">
        <v>36</v>
      </c>
      <c r="B3" s="1" t="s">
        <v>40</v>
      </c>
      <c r="C3" s="2">
        <v>15</v>
      </c>
      <c r="D3" s="2">
        <f>C3*0.15</f>
        <v>2.25</v>
      </c>
      <c r="E3" s="2">
        <f>SUM(D3,C3)</f>
        <v>17.25</v>
      </c>
    </row>
    <row r="4" spans="1:5" x14ac:dyDescent="0.25">
      <c r="A4" s="3" t="s">
        <v>37</v>
      </c>
      <c r="B4" s="1" t="s">
        <v>39</v>
      </c>
      <c r="C4" s="2">
        <v>10</v>
      </c>
      <c r="D4" s="2">
        <f t="shared" ref="D4" si="0">C4*0.15</f>
        <v>1.5</v>
      </c>
      <c r="E4" s="2">
        <f>SUM(D4,C4)</f>
        <v>11.5</v>
      </c>
    </row>
    <row r="5" spans="1:5" x14ac:dyDescent="0.25">
      <c r="A5" s="1"/>
      <c r="B5" s="1"/>
      <c r="C5" s="2"/>
      <c r="D5" s="2"/>
      <c r="E5" s="2"/>
    </row>
    <row r="6" spans="1:5" x14ac:dyDescent="0.25">
      <c r="A6" s="3"/>
      <c r="B6" s="3"/>
      <c r="C6" s="2"/>
      <c r="D6" s="2"/>
      <c r="E6" s="2"/>
    </row>
    <row r="7" spans="1:5" x14ac:dyDescent="0.25">
      <c r="B7" s="3" t="s">
        <v>5</v>
      </c>
      <c r="C7" s="2">
        <f>SUM(C2:C6)</f>
        <v>34.799999999999997</v>
      </c>
      <c r="D7" s="2">
        <f>SUM(D2:D6)</f>
        <v>5.22</v>
      </c>
      <c r="E7" s="2">
        <f>SUM(E2:E6)</f>
        <v>40.020000000000003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DCDF-2CD0-4884-950D-3A5A06D53D52}">
  <dimension ref="A1:E7"/>
  <sheetViews>
    <sheetView workbookViewId="0">
      <selection activeCell="C3" sqref="C3"/>
    </sheetView>
  </sheetViews>
  <sheetFormatPr baseColWidth="10" defaultRowHeight="15" x14ac:dyDescent="0.25"/>
  <cols>
    <col min="2" max="2" width="35.4257812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41</v>
      </c>
      <c r="B2" s="1" t="s">
        <v>45</v>
      </c>
      <c r="C2" s="2">
        <v>19.899999999999999</v>
      </c>
      <c r="D2" s="2">
        <f t="shared" ref="D2" si="0">C2*0.15</f>
        <v>2.9849999999999999</v>
      </c>
      <c r="E2" s="2">
        <f t="shared" ref="E2" si="1">SUM(D2,C2)</f>
        <v>22.884999999999998</v>
      </c>
    </row>
    <row r="3" spans="1:5" x14ac:dyDescent="0.25">
      <c r="A3" s="3" t="s">
        <v>42</v>
      </c>
      <c r="B3" s="1" t="s">
        <v>43</v>
      </c>
      <c r="C3" s="2">
        <v>76.650000000000006</v>
      </c>
      <c r="D3" s="2">
        <f t="shared" ref="D3:D4" si="2">C3*0.15</f>
        <v>11.4975</v>
      </c>
      <c r="E3" s="2">
        <f t="shared" ref="E3:E4" si="3">SUM(D3,C3)</f>
        <v>88.147500000000008</v>
      </c>
    </row>
    <row r="4" spans="1:5" x14ac:dyDescent="0.25">
      <c r="A4" s="3" t="s">
        <v>42</v>
      </c>
      <c r="B4" s="1" t="s">
        <v>44</v>
      </c>
      <c r="C4" s="2">
        <v>60</v>
      </c>
      <c r="D4" s="2">
        <f t="shared" si="2"/>
        <v>9</v>
      </c>
      <c r="E4" s="2">
        <f t="shared" si="3"/>
        <v>69</v>
      </c>
    </row>
    <row r="5" spans="1:5" x14ac:dyDescent="0.25">
      <c r="A5" s="3"/>
      <c r="B5" s="1"/>
      <c r="C5" s="2"/>
      <c r="D5" s="2"/>
      <c r="E5" s="2"/>
    </row>
    <row r="6" spans="1:5" x14ac:dyDescent="0.25">
      <c r="A6" s="3"/>
      <c r="B6" s="1"/>
      <c r="C6" s="2"/>
      <c r="D6" s="2"/>
      <c r="E6" s="2"/>
    </row>
    <row r="7" spans="1:5" x14ac:dyDescent="0.25">
      <c r="B7" s="3" t="s">
        <v>5</v>
      </c>
      <c r="C7" s="2">
        <f>SUM(C2:C6)</f>
        <v>156.55000000000001</v>
      </c>
      <c r="D7" s="2">
        <f>SUM(D2:D6)</f>
        <v>23.482500000000002</v>
      </c>
      <c r="E7" s="2">
        <f>SUM(E2:E6)</f>
        <v>180.0325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E16F-1B83-4260-8246-B1FED4421BC6}">
  <dimension ref="A1:E7"/>
  <sheetViews>
    <sheetView tabSelected="1" workbookViewId="0">
      <selection activeCell="C3" sqref="C3"/>
    </sheetView>
  </sheetViews>
  <sheetFormatPr baseColWidth="10" defaultRowHeight="15" x14ac:dyDescent="0.25"/>
  <cols>
    <col min="2" max="2" width="35.42578125" bestFit="1" customWidth="1"/>
  </cols>
  <sheetData>
    <row r="1" spans="1:5" x14ac:dyDescent="0.25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14</v>
      </c>
      <c r="B2" s="1" t="s">
        <v>46</v>
      </c>
      <c r="C2" s="2">
        <v>19.600000000000001</v>
      </c>
      <c r="D2" s="2">
        <f t="shared" ref="D2" si="0">C2*0.15</f>
        <v>2.94</v>
      </c>
      <c r="E2" s="2">
        <f t="shared" ref="E2" si="1">SUM(D2,C2)</f>
        <v>22.540000000000003</v>
      </c>
    </row>
    <row r="3" spans="1:5" x14ac:dyDescent="0.25">
      <c r="A3" s="3"/>
      <c r="B3" s="1"/>
      <c r="C3" s="2"/>
      <c r="D3" s="2"/>
      <c r="E3" s="2"/>
    </row>
    <row r="4" spans="1:5" x14ac:dyDescent="0.25">
      <c r="A4" s="3"/>
      <c r="B4" s="1"/>
      <c r="C4" s="2"/>
      <c r="D4" s="2"/>
      <c r="E4" s="2"/>
    </row>
    <row r="5" spans="1:5" x14ac:dyDescent="0.25">
      <c r="A5" s="3"/>
      <c r="B5" s="1"/>
      <c r="C5" s="2"/>
      <c r="D5" s="2"/>
      <c r="E5" s="2"/>
    </row>
    <row r="6" spans="1:5" x14ac:dyDescent="0.25">
      <c r="A6" s="3"/>
      <c r="B6" s="1"/>
      <c r="C6" s="2"/>
      <c r="D6" s="2"/>
      <c r="E6" s="2"/>
    </row>
    <row r="7" spans="1:5" x14ac:dyDescent="0.25">
      <c r="B7" s="3" t="s">
        <v>5</v>
      </c>
      <c r="C7" s="2">
        <f>SUM(C2:C6)</f>
        <v>19.600000000000001</v>
      </c>
      <c r="D7" s="2">
        <f>SUM(D2:D6)</f>
        <v>2.94</v>
      </c>
      <c r="E7" s="2">
        <f>SUM(E2:E6)</f>
        <v>22.540000000000003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FACT 3160</vt:lpstr>
      <vt:lpstr>FACT 3297</vt:lpstr>
      <vt:lpstr>FACT 3298</vt:lpstr>
      <vt:lpstr>FACT 3299</vt:lpstr>
      <vt:lpstr>FACT 3300</vt:lpstr>
      <vt:lpstr>FACT 3301</vt:lpstr>
      <vt:lpstr>FACT 3302</vt:lpstr>
      <vt:lpstr>FACT 3303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a1014</cp:lastModifiedBy>
  <cp:lastPrinted>2023-11-23T04:49:32Z</cp:lastPrinted>
  <dcterms:created xsi:type="dcterms:W3CDTF">2021-02-23T20:32:35Z</dcterms:created>
  <dcterms:modified xsi:type="dcterms:W3CDTF">2026-04-25T16:45:50Z</dcterms:modified>
</cp:coreProperties>
</file>